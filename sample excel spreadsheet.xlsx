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ion-my.sharepoint.com/personal/pgibbs_azuria_com/Documents/Desktop/"/>
    </mc:Choice>
  </mc:AlternateContent>
  <xr:revisionPtr revIDLastSave="0" documentId="8_{8CE351CF-7AEF-4C47-8FC4-1AF0D1803170}" xr6:coauthVersionLast="47" xr6:coauthVersionMax="47" xr10:uidLastSave="{00000000-0000-0000-0000-000000000000}"/>
  <bookViews>
    <workbookView xWindow="-19320" yWindow="-180" windowWidth="19440" windowHeight="15000" xr2:uid="{6D73259E-4F1A-4A3F-AD8E-CA4AB667B831}"/>
  </bookViews>
  <sheets>
    <sheet name="Mainline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Mainline!$A$3:$AK$130</definedName>
    <definedName name="_Key1" hidden="1">#REF!</definedName>
    <definedName name="_Order1" hidden="1">255</definedName>
    <definedName name="_Regression_X" hidden="1">#REF!</definedName>
    <definedName name="_Regression_Y" hidden="1">#REF!</definedName>
    <definedName name="_Sort" hidden="1">#REF!</definedName>
    <definedName name="AccessDatabase" hidden="1">"C:\TEMP\insituform\insitufo1.mdb"</definedName>
    <definedName name="Bid_List">[2]Lists!$D$3:$D$75</definedName>
    <definedName name="CWN_List">[3]Lists!$B$3:$B$12</definedName>
    <definedName name="_xlnm.Database">#REF!</definedName>
    <definedName name="Status">#REF!</definedName>
    <definedName name="wrn.Bid._.Review." hidden="1">{#N/A,#N/A,FALSE,"BidReview";"BidReview",#N/A,FALSE,"BidTab"}</definedName>
    <definedName name="wrn.JD._.Edwards." hidden="1">{#N/A,#N/A,FALSE,"JD Edwards"}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0" i="1" l="1"/>
  <c r="K130" i="1"/>
  <c r="AA129" i="1"/>
  <c r="K129" i="1"/>
  <c r="AA128" i="1"/>
  <c r="K128" i="1"/>
  <c r="AA127" i="1"/>
  <c r="K127" i="1"/>
  <c r="AA126" i="1"/>
  <c r="K126" i="1"/>
  <c r="AA125" i="1"/>
  <c r="K125" i="1"/>
  <c r="AA124" i="1"/>
  <c r="K124" i="1"/>
  <c r="AA123" i="1"/>
  <c r="K123" i="1"/>
  <c r="AA122" i="1"/>
  <c r="K122" i="1"/>
  <c r="AA121" i="1"/>
  <c r="K121" i="1"/>
  <c r="AA120" i="1"/>
  <c r="K120" i="1"/>
  <c r="AA119" i="1"/>
  <c r="K119" i="1"/>
  <c r="AA118" i="1"/>
  <c r="K118" i="1"/>
  <c r="AA117" i="1"/>
  <c r="K117" i="1"/>
  <c r="AA116" i="1"/>
  <c r="K116" i="1"/>
  <c r="AA115" i="1"/>
  <c r="K115" i="1"/>
  <c r="AA114" i="1"/>
  <c r="K114" i="1"/>
  <c r="AA113" i="1"/>
  <c r="K113" i="1"/>
  <c r="AA112" i="1"/>
  <c r="K112" i="1"/>
  <c r="AA111" i="1"/>
  <c r="K111" i="1"/>
  <c r="AA110" i="1"/>
  <c r="K110" i="1"/>
  <c r="AA109" i="1"/>
  <c r="K109" i="1"/>
  <c r="AA108" i="1"/>
  <c r="K108" i="1"/>
  <c r="AA107" i="1"/>
  <c r="K107" i="1"/>
  <c r="AA106" i="1"/>
  <c r="K106" i="1"/>
  <c r="AA105" i="1"/>
  <c r="K105" i="1"/>
  <c r="AA104" i="1"/>
  <c r="K104" i="1"/>
  <c r="AA103" i="1"/>
  <c r="K103" i="1"/>
  <c r="AA102" i="1"/>
  <c r="K102" i="1"/>
  <c r="AA101" i="1"/>
  <c r="K101" i="1"/>
  <c r="AA100" i="1"/>
  <c r="K100" i="1"/>
  <c r="AA99" i="1"/>
  <c r="K99" i="1"/>
  <c r="AA98" i="1"/>
  <c r="K98" i="1"/>
  <c r="AA97" i="1"/>
  <c r="K97" i="1"/>
  <c r="AA96" i="1"/>
  <c r="K96" i="1"/>
  <c r="AA95" i="1"/>
  <c r="K95" i="1"/>
  <c r="AA94" i="1"/>
  <c r="K94" i="1"/>
  <c r="AA93" i="1"/>
  <c r="K93" i="1"/>
  <c r="AA92" i="1"/>
  <c r="K92" i="1"/>
  <c r="AA91" i="1"/>
  <c r="K91" i="1"/>
  <c r="AA90" i="1"/>
  <c r="K90" i="1"/>
  <c r="AA89" i="1"/>
  <c r="K89" i="1"/>
  <c r="AA88" i="1"/>
  <c r="K88" i="1"/>
  <c r="AA87" i="1"/>
  <c r="K87" i="1"/>
  <c r="AA86" i="1"/>
  <c r="K86" i="1"/>
  <c r="AA85" i="1"/>
  <c r="K85" i="1"/>
  <c r="AA84" i="1"/>
  <c r="K84" i="1"/>
  <c r="AA83" i="1"/>
  <c r="K83" i="1"/>
  <c r="AA82" i="1"/>
  <c r="K82" i="1"/>
  <c r="AA81" i="1"/>
  <c r="K81" i="1"/>
  <c r="AA80" i="1"/>
  <c r="K80" i="1"/>
  <c r="AA79" i="1"/>
  <c r="K79" i="1"/>
  <c r="AA78" i="1"/>
  <c r="K78" i="1"/>
  <c r="AA77" i="1"/>
  <c r="K77" i="1"/>
  <c r="AA76" i="1"/>
  <c r="K76" i="1"/>
  <c r="AA75" i="1"/>
  <c r="K75" i="1"/>
  <c r="AA74" i="1"/>
  <c r="K74" i="1"/>
  <c r="AA73" i="1"/>
  <c r="K73" i="1"/>
  <c r="AA72" i="1"/>
  <c r="K72" i="1"/>
  <c r="AA71" i="1"/>
  <c r="K71" i="1"/>
  <c r="AA70" i="1"/>
  <c r="K70" i="1"/>
  <c r="AA69" i="1"/>
  <c r="K69" i="1"/>
  <c r="AA68" i="1"/>
  <c r="K68" i="1"/>
  <c r="AA67" i="1"/>
  <c r="K67" i="1"/>
  <c r="AA66" i="1"/>
  <c r="K66" i="1"/>
  <c r="AA65" i="1"/>
  <c r="K65" i="1"/>
  <c r="AA64" i="1"/>
  <c r="K64" i="1"/>
  <c r="AA63" i="1"/>
  <c r="K63" i="1"/>
  <c r="AA62" i="1"/>
  <c r="K62" i="1"/>
  <c r="AA61" i="1"/>
  <c r="K61" i="1"/>
  <c r="AA60" i="1"/>
  <c r="K60" i="1"/>
  <c r="AA59" i="1"/>
  <c r="K59" i="1"/>
  <c r="AA58" i="1"/>
  <c r="K58" i="1"/>
  <c r="AA57" i="1"/>
  <c r="K57" i="1"/>
  <c r="AA56" i="1"/>
  <c r="K56" i="1"/>
  <c r="AA55" i="1"/>
  <c r="K55" i="1"/>
  <c r="AA54" i="1"/>
  <c r="K54" i="1"/>
  <c r="AA53" i="1"/>
  <c r="K53" i="1"/>
  <c r="AA52" i="1"/>
  <c r="K52" i="1"/>
  <c r="AA51" i="1"/>
  <c r="K51" i="1"/>
  <c r="AA50" i="1"/>
  <c r="K50" i="1"/>
  <c r="AA49" i="1"/>
  <c r="K49" i="1"/>
  <c r="AA48" i="1"/>
  <c r="K48" i="1"/>
  <c r="AA47" i="1"/>
  <c r="K47" i="1"/>
  <c r="AA46" i="1"/>
  <c r="K46" i="1"/>
  <c r="AA45" i="1"/>
  <c r="K45" i="1"/>
  <c r="AA44" i="1"/>
  <c r="K44" i="1"/>
  <c r="AA43" i="1"/>
  <c r="K43" i="1"/>
  <c r="AA42" i="1"/>
  <c r="K42" i="1"/>
  <c r="AA41" i="1"/>
  <c r="K41" i="1"/>
  <c r="AA40" i="1"/>
  <c r="K40" i="1"/>
  <c r="AA39" i="1"/>
  <c r="K39" i="1"/>
  <c r="AA38" i="1"/>
  <c r="K38" i="1"/>
  <c r="AA37" i="1"/>
  <c r="K37" i="1"/>
  <c r="AA36" i="1"/>
  <c r="K36" i="1"/>
  <c r="AA35" i="1"/>
  <c r="K35" i="1"/>
  <c r="AA34" i="1"/>
  <c r="K34" i="1"/>
  <c r="AA33" i="1"/>
  <c r="K33" i="1"/>
  <c r="AA32" i="1"/>
  <c r="K32" i="1"/>
  <c r="AA31" i="1"/>
  <c r="K31" i="1"/>
  <c r="AA30" i="1"/>
  <c r="K30" i="1"/>
  <c r="AA29" i="1"/>
  <c r="K29" i="1"/>
  <c r="AA28" i="1"/>
  <c r="K28" i="1"/>
  <c r="AA27" i="1"/>
  <c r="K27" i="1"/>
  <c r="AA26" i="1"/>
  <c r="K26" i="1"/>
  <c r="AA25" i="1"/>
  <c r="K25" i="1"/>
  <c r="AA24" i="1"/>
  <c r="K24" i="1"/>
  <c r="AA23" i="1"/>
  <c r="K23" i="1"/>
  <c r="AA22" i="1"/>
  <c r="K22" i="1"/>
  <c r="AA21" i="1"/>
  <c r="K21" i="1"/>
  <c r="AA20" i="1"/>
  <c r="K20" i="1"/>
  <c r="AA19" i="1"/>
  <c r="K19" i="1"/>
  <c r="AA18" i="1"/>
  <c r="K18" i="1"/>
  <c r="AA17" i="1"/>
  <c r="K17" i="1"/>
  <c r="AA16" i="1"/>
  <c r="K16" i="1"/>
  <c r="AA15" i="1"/>
  <c r="K15" i="1"/>
  <c r="AA14" i="1"/>
  <c r="K14" i="1"/>
  <c r="AA13" i="1"/>
  <c r="K13" i="1"/>
  <c r="AA12" i="1"/>
  <c r="K12" i="1"/>
  <c r="AA11" i="1"/>
  <c r="K11" i="1"/>
  <c r="AA10" i="1"/>
  <c r="K10" i="1"/>
  <c r="AA9" i="1"/>
  <c r="K9" i="1"/>
  <c r="AA8" i="1"/>
  <c r="K8" i="1"/>
  <c r="AA7" i="1"/>
  <c r="K7" i="1"/>
  <c r="AA6" i="1"/>
  <c r="K6" i="1"/>
  <c r="AA5" i="1"/>
  <c r="K5" i="1"/>
  <c r="AA4" i="1"/>
  <c r="K4" i="1"/>
</calcChain>
</file>

<file path=xl/sharedStrings.xml><?xml version="1.0" encoding="utf-8"?>
<sst xmlns="http://schemas.openxmlformats.org/spreadsheetml/2006/main" count="1163" uniqueCount="450">
  <si>
    <t>Mainline Liner</t>
  </si>
  <si>
    <t>Design Information</t>
  </si>
  <si>
    <t>Pre CCTV Information</t>
  </si>
  <si>
    <t>Liner Installation Information</t>
  </si>
  <si>
    <t>Liner Testing  Information</t>
  </si>
  <si>
    <t>Post CCTV Information</t>
  </si>
  <si>
    <t xml:space="preserve">CWN Item No. </t>
  </si>
  <si>
    <t>SAC</t>
  </si>
  <si>
    <t>SAC Revised</t>
  </si>
  <si>
    <t>Existing Pipe Material</t>
  </si>
  <si>
    <t>USMH</t>
  </si>
  <si>
    <t>DSMH</t>
  </si>
  <si>
    <t>Pipe Dia.</t>
  </si>
  <si>
    <t>Street Name</t>
  </si>
  <si>
    <t xml:space="preserve">Sheet No. </t>
  </si>
  <si>
    <t>Plan Length</t>
  </si>
  <si>
    <t>EAC Length</t>
  </si>
  <si>
    <t>Pre CCTV Date</t>
  </si>
  <si>
    <t>Camera Direction</t>
  </si>
  <si>
    <t>Hard Tape Length</t>
  </si>
  <si>
    <t>CCTV Length</t>
  </si>
  <si>
    <t>Service Count</t>
  </si>
  <si>
    <t>US MH Depth</t>
  </si>
  <si>
    <t>US MH Diameter</t>
  </si>
  <si>
    <t>DS MH Depth</t>
  </si>
  <si>
    <t xml:space="preserve">DS MH Diameter </t>
  </si>
  <si>
    <t>Mainline Material</t>
  </si>
  <si>
    <t>Heavy Cleaning Length</t>
  </si>
  <si>
    <t>Status</t>
  </si>
  <si>
    <t>Bid Item Number</t>
  </si>
  <si>
    <t>Pre-TV Notes</t>
  </si>
  <si>
    <t>Date Installed</t>
  </si>
  <si>
    <t>Installed Length</t>
  </si>
  <si>
    <t>Contractor Shot No.</t>
  </si>
  <si>
    <t># of Services</t>
  </si>
  <si>
    <t>Drop</t>
  </si>
  <si>
    <t>Air Test?</t>
  </si>
  <si>
    <t>Test PSI Start</t>
  </si>
  <si>
    <t>Test PSI End</t>
  </si>
  <si>
    <t>Air Test Pass/Fail</t>
  </si>
  <si>
    <t>Post CCTV Date</t>
  </si>
  <si>
    <t>Uploaded to MWS Date</t>
  </si>
  <si>
    <t>Comments</t>
  </si>
  <si>
    <t>A-001</t>
  </si>
  <si>
    <t>CCTV, JC</t>
  </si>
  <si>
    <t>CIPP</t>
  </si>
  <si>
    <t>147-04-043</t>
  </si>
  <si>
    <t>147-04-044</t>
  </si>
  <si>
    <t>WALLACE RD</t>
  </si>
  <si>
    <t>9/10</t>
  </si>
  <si>
    <t>Downstream</t>
  </si>
  <si>
    <t>4'</t>
  </si>
  <si>
    <t>8"</t>
  </si>
  <si>
    <t>8.2'</t>
  </si>
  <si>
    <t>NA</t>
  </si>
  <si>
    <t>Previously Lined</t>
  </si>
  <si>
    <t>B-3</t>
  </si>
  <si>
    <t>A-002</t>
  </si>
  <si>
    <t>VCP</t>
  </si>
  <si>
    <t>147-04-045</t>
  </si>
  <si>
    <t>FAULKNER DR</t>
  </si>
  <si>
    <t>Upstream</t>
  </si>
  <si>
    <t>6.5'</t>
  </si>
  <si>
    <t>Ready to Line</t>
  </si>
  <si>
    <t>A-003</t>
  </si>
  <si>
    <t>147-04-047</t>
  </si>
  <si>
    <t>6.7'</t>
  </si>
  <si>
    <t>A-005</t>
  </si>
  <si>
    <t>CCTV</t>
  </si>
  <si>
    <t>147-04-048</t>
  </si>
  <si>
    <t>12'</t>
  </si>
  <si>
    <t>A-006</t>
  </si>
  <si>
    <t>147-04-049</t>
  </si>
  <si>
    <t>A-007</t>
  </si>
  <si>
    <t>147-04-093</t>
  </si>
  <si>
    <t>A-009</t>
  </si>
  <si>
    <t>147-04-051</t>
  </si>
  <si>
    <t>A-010</t>
  </si>
  <si>
    <t>147-04-052</t>
  </si>
  <si>
    <t>147-04-050</t>
  </si>
  <si>
    <t>5.5'</t>
  </si>
  <si>
    <t>7.2'</t>
  </si>
  <si>
    <t>A-011</t>
  </si>
  <si>
    <t>147-04-053</t>
  </si>
  <si>
    <t>WILLOW LN</t>
  </si>
  <si>
    <t>5.9'</t>
  </si>
  <si>
    <t>Needs Attention</t>
  </si>
  <si>
    <t>72.8' TOTAL FEET OF PIPE HAS DEEP CRACKS AND BROKEN AREAS /  FROM 93.3'-166.1' FROM DSMH 147-04-052</t>
  </si>
  <si>
    <t>A-012</t>
  </si>
  <si>
    <t>147-04-054</t>
  </si>
  <si>
    <t>6'</t>
  </si>
  <si>
    <t>A-013</t>
  </si>
  <si>
    <t>CCTV; IR (3)</t>
  </si>
  <si>
    <t>147-04-055</t>
  </si>
  <si>
    <t>A-014</t>
  </si>
  <si>
    <t>IR (1)</t>
  </si>
  <si>
    <t>CCTV; IR (1)</t>
  </si>
  <si>
    <t>147-04-056</t>
  </si>
  <si>
    <t>A-015</t>
  </si>
  <si>
    <t>147-04-057</t>
  </si>
  <si>
    <t>BURIED</t>
  </si>
  <si>
    <t>USMH 147-04-057 / BURIED - SONDE/LOCATED MARKED IN ROAD 7' DEEP</t>
  </si>
  <si>
    <t>A-016</t>
  </si>
  <si>
    <t>147-04-058</t>
  </si>
  <si>
    <t>147-08-014</t>
  </si>
  <si>
    <t>9/10/13/14</t>
  </si>
  <si>
    <t>A-024</t>
  </si>
  <si>
    <t>S-LTV</t>
  </si>
  <si>
    <t>PVC</t>
  </si>
  <si>
    <t>147-04-068</t>
  </si>
  <si>
    <t>147-04-085</t>
  </si>
  <si>
    <t>HUMBER DR</t>
  </si>
  <si>
    <t>A-025</t>
  </si>
  <si>
    <t>147-04-069</t>
  </si>
  <si>
    <t>A-026</t>
  </si>
  <si>
    <t>147-04-070</t>
  </si>
  <si>
    <t>FOLEY DR</t>
  </si>
  <si>
    <t>A-027</t>
  </si>
  <si>
    <t>DIP</t>
  </si>
  <si>
    <t>147-04-071</t>
  </si>
  <si>
    <t>11'</t>
  </si>
  <si>
    <t>5.4'</t>
  </si>
  <si>
    <t>Concrete</t>
  </si>
  <si>
    <t>A-028</t>
  </si>
  <si>
    <t>147-04-072</t>
  </si>
  <si>
    <t>4.5'</t>
  </si>
  <si>
    <t>A-029</t>
  </si>
  <si>
    <t>147-04-073</t>
  </si>
  <si>
    <t>147-04-081</t>
  </si>
  <si>
    <t>TORBAY DR</t>
  </si>
  <si>
    <t>A-030</t>
  </si>
  <si>
    <t>147-04-074</t>
  </si>
  <si>
    <t>7.7'</t>
  </si>
  <si>
    <t>9.5'</t>
  </si>
  <si>
    <t>A-031</t>
  </si>
  <si>
    <t>147-04-075</t>
  </si>
  <si>
    <t>A-033</t>
  </si>
  <si>
    <t>147-04-077</t>
  </si>
  <si>
    <t>4/6/226</t>
  </si>
  <si>
    <t>7.8'</t>
  </si>
  <si>
    <t>A-036</t>
  </si>
  <si>
    <t>147-04-080</t>
  </si>
  <si>
    <t>A-037</t>
  </si>
  <si>
    <t>147-04-082</t>
  </si>
  <si>
    <t>A-038</t>
  </si>
  <si>
    <t>RSSPSS25</t>
  </si>
  <si>
    <t>A-039</t>
  </si>
  <si>
    <t>147-04-084</t>
  </si>
  <si>
    <t>A-041</t>
  </si>
  <si>
    <t>147-04-092</t>
  </si>
  <si>
    <t>A-045</t>
  </si>
  <si>
    <t>147-04-105</t>
  </si>
  <si>
    <t>WALLACE COURT</t>
  </si>
  <si>
    <t>A-047</t>
  </si>
  <si>
    <t>S-PR, IR (2)</t>
  </si>
  <si>
    <t>CCTV; S-PR, IR (2)</t>
  </si>
  <si>
    <t>147-08-011</t>
  </si>
  <si>
    <t>147-08-010</t>
  </si>
  <si>
    <t>13/14</t>
  </si>
  <si>
    <t>A-049</t>
  </si>
  <si>
    <t>CIPP; S-PR(2), IR (4)</t>
  </si>
  <si>
    <t>147-08-013</t>
  </si>
  <si>
    <t>147-08-098</t>
  </si>
  <si>
    <t>A-050</t>
  </si>
  <si>
    <t>147-08-015</t>
  </si>
  <si>
    <t>A-053</t>
  </si>
  <si>
    <t>S-LTV (1)</t>
  </si>
  <si>
    <t>147-08-017</t>
  </si>
  <si>
    <t>147-08-016</t>
  </si>
  <si>
    <t>A-054</t>
  </si>
  <si>
    <t>CIPP, S-PR (4), IR (8)</t>
  </si>
  <si>
    <t>147-08-018</t>
  </si>
  <si>
    <t>147-08-019</t>
  </si>
  <si>
    <t>A-055</t>
  </si>
  <si>
    <t>CIPP, S-PR (2), IR (4)</t>
  </si>
  <si>
    <t>147-08-020</t>
  </si>
  <si>
    <t>A-056</t>
  </si>
  <si>
    <t>147-08-021</t>
  </si>
  <si>
    <t>A-059</t>
  </si>
  <si>
    <t>147-08-039</t>
  </si>
  <si>
    <t>147-08-067</t>
  </si>
  <si>
    <t>A-060</t>
  </si>
  <si>
    <t>147-08-040</t>
  </si>
  <si>
    <t>WALES DR</t>
  </si>
  <si>
    <t>A-062</t>
  </si>
  <si>
    <t>147-08-047</t>
  </si>
  <si>
    <t>147-08-046</t>
  </si>
  <si>
    <t>A-063</t>
  </si>
  <si>
    <t>147-08-048</t>
  </si>
  <si>
    <t>A-064</t>
  </si>
  <si>
    <t>S-LL (1)</t>
  </si>
  <si>
    <t>147-08-049</t>
  </si>
  <si>
    <t>147-04-079</t>
  </si>
  <si>
    <t>8.5'</t>
  </si>
  <si>
    <t>7.9'</t>
  </si>
  <si>
    <t>A-069</t>
  </si>
  <si>
    <t>S-LTV (2)</t>
  </si>
  <si>
    <t>147-08-054</t>
  </si>
  <si>
    <t>147-08-053</t>
  </si>
  <si>
    <t>WALES CT</t>
  </si>
  <si>
    <t>A-070</t>
  </si>
  <si>
    <t>147-08-055</t>
  </si>
  <si>
    <t>A-071</t>
  </si>
  <si>
    <t>S-LTV(1)</t>
  </si>
  <si>
    <t>147-08-056</t>
  </si>
  <si>
    <t>A-072</t>
  </si>
  <si>
    <t>CCTV, S-PR (1), IR (2)</t>
  </si>
  <si>
    <t>147-08-057</t>
  </si>
  <si>
    <t>A-075</t>
  </si>
  <si>
    <t>CCTV, JC, EX (1), S-PR (1), IR (2)</t>
  </si>
  <si>
    <t>147-08-060</t>
  </si>
  <si>
    <t>147-08-059</t>
  </si>
  <si>
    <t>A-076</t>
  </si>
  <si>
    <t xml:space="preserve"> CCTV; JC; EX (2)</t>
  </si>
  <si>
    <t>147-08-061</t>
  </si>
  <si>
    <t>A-077</t>
  </si>
  <si>
    <t>147-08-062</t>
  </si>
  <si>
    <t>A-078</t>
  </si>
  <si>
    <t>147-08-063</t>
  </si>
  <si>
    <t>A-083</t>
  </si>
  <si>
    <t>IR</t>
  </si>
  <si>
    <t>CCTV; IR</t>
  </si>
  <si>
    <t>147-08-068</t>
  </si>
  <si>
    <t>22/23</t>
  </si>
  <si>
    <t>A-086</t>
  </si>
  <si>
    <t>147-08-071</t>
  </si>
  <si>
    <t>147-08-070</t>
  </si>
  <si>
    <t>A-088</t>
  </si>
  <si>
    <t>S-PR (2), IR (4)</t>
  </si>
  <si>
    <t>CCTV; S-PR (2), IR (4)</t>
  </si>
  <si>
    <t>147-08-073</t>
  </si>
  <si>
    <t>HOPEDALE DR</t>
  </si>
  <si>
    <t>A-093</t>
  </si>
  <si>
    <t>CCTV, JC, S-PR(2), IR (4)</t>
  </si>
  <si>
    <t>147-08-078</t>
  </si>
  <si>
    <t>147-08-077</t>
  </si>
  <si>
    <t>A-097</t>
  </si>
  <si>
    <t>147-08-082</t>
  </si>
  <si>
    <t>147-08-074</t>
  </si>
  <si>
    <t>A-098</t>
  </si>
  <si>
    <t>147-08-096</t>
  </si>
  <si>
    <t>147-08-100</t>
  </si>
  <si>
    <t>HOLLIS HILL DR</t>
  </si>
  <si>
    <t>A-100</t>
  </si>
  <si>
    <t>CIPP, S-PR(4), IR (8)</t>
  </si>
  <si>
    <t>147-08-012</t>
  </si>
  <si>
    <t>A-102</t>
  </si>
  <si>
    <t>A-103</t>
  </si>
  <si>
    <t>147-08-101</t>
  </si>
  <si>
    <t>147-08-102</t>
  </si>
  <si>
    <t>A-104</t>
  </si>
  <si>
    <t>A-106</t>
  </si>
  <si>
    <t>UNK</t>
  </si>
  <si>
    <t>148-09-029</t>
  </si>
  <si>
    <t>148-09-030</t>
  </si>
  <si>
    <t>19/20</t>
  </si>
  <si>
    <t>A-108</t>
  </si>
  <si>
    <t>147-12-043</t>
  </si>
  <si>
    <t>147-12-064</t>
  </si>
  <si>
    <t>CARAWAY DR</t>
  </si>
  <si>
    <t>17/18</t>
  </si>
  <si>
    <t>A-110</t>
  </si>
  <si>
    <t>147-12-045</t>
  </si>
  <si>
    <t>147-12-063</t>
  </si>
  <si>
    <t>A-111</t>
  </si>
  <si>
    <t>147-12-046</t>
  </si>
  <si>
    <t>13/14/17/18</t>
  </si>
  <si>
    <t>A-123</t>
  </si>
  <si>
    <t>A-124</t>
  </si>
  <si>
    <t>147-12-044</t>
  </si>
  <si>
    <t>A-126</t>
  </si>
  <si>
    <t>CIPP, S-PR (3), IR (6)</t>
  </si>
  <si>
    <t>148-01-036</t>
  </si>
  <si>
    <t>TURLEY DR</t>
  </si>
  <si>
    <t>9/10/11/12/13/14</t>
  </si>
  <si>
    <t>A-127</t>
  </si>
  <si>
    <t>CIPP, EX, S-PR (1), IR (2)</t>
  </si>
  <si>
    <t>148-01-037</t>
  </si>
  <si>
    <t>11/12</t>
  </si>
  <si>
    <t>A-128</t>
  </si>
  <si>
    <t xml:space="preserve"> JC, CIPP, S-PR(1), IR (2)</t>
  </si>
  <si>
    <t>148-01-038</t>
  </si>
  <si>
    <t>A-129</t>
  </si>
  <si>
    <t>148-01-039</t>
  </si>
  <si>
    <t>9/10/11/12</t>
  </si>
  <si>
    <t>5.6'</t>
  </si>
  <si>
    <t>MATERIAL SETTLED/BONDED TO PIPE 1-2' FROM USMH 148-01-039 / INFILTRATION 124.6' FROM DSMH 147-04-053</t>
  </si>
  <si>
    <t>A-130</t>
  </si>
  <si>
    <t>148-01-040</t>
  </si>
  <si>
    <t>A-131</t>
  </si>
  <si>
    <t>CIPP, S-PR(5), IR (10)</t>
  </si>
  <si>
    <t>148-01-041</t>
  </si>
  <si>
    <t>147-04-046</t>
  </si>
  <si>
    <t>A-132</t>
  </si>
  <si>
    <t>CCTV, S-PR (2), IR (4), S-LTV (3)</t>
  </si>
  <si>
    <t>148-01-042</t>
  </si>
  <si>
    <t>A-133</t>
  </si>
  <si>
    <t>148-01-043</t>
  </si>
  <si>
    <t>A-134</t>
  </si>
  <si>
    <t>148-01-044</t>
  </si>
  <si>
    <t>A-135</t>
  </si>
  <si>
    <t xml:space="preserve"> CIPP</t>
  </si>
  <si>
    <t>148-01-045</t>
  </si>
  <si>
    <t>A-136</t>
  </si>
  <si>
    <t>CCTV,  JC, S-PR(2), IR (4)</t>
  </si>
  <si>
    <t>148-01-046</t>
  </si>
  <si>
    <t>10.5'</t>
  </si>
  <si>
    <t>A-137</t>
  </si>
  <si>
    <t>148-01-047</t>
  </si>
  <si>
    <t>A-138</t>
  </si>
  <si>
    <t>CIPP, JC, S-PR(3), IR (6)</t>
  </si>
  <si>
    <t>148-01-048</t>
  </si>
  <si>
    <t>9.9'</t>
  </si>
  <si>
    <t>A-139</t>
  </si>
  <si>
    <t>148-01-072</t>
  </si>
  <si>
    <t>A-140</t>
  </si>
  <si>
    <t>CCTV, JC, S-PR (1), IR (2)</t>
  </si>
  <si>
    <t>148-01-090</t>
  </si>
  <si>
    <t>A-141</t>
  </si>
  <si>
    <t>CCTV, IR(2)</t>
  </si>
  <si>
    <t>148-05-001</t>
  </si>
  <si>
    <t>LEOPOLE RD</t>
  </si>
  <si>
    <t>13/14/15/16</t>
  </si>
  <si>
    <t>A-142</t>
  </si>
  <si>
    <t>IR (3)</t>
  </si>
  <si>
    <t>148-05-002</t>
  </si>
  <si>
    <t>15/16</t>
  </si>
  <si>
    <t>A-143</t>
  </si>
  <si>
    <t xml:space="preserve"> S-PR(1); IR(2); S-LTV (1) for service being relocated to MH; New MH as noted</t>
  </si>
  <si>
    <t>CCTV; S-PR(1); IR(2); S-LTV (1) for service being relocated to MH; New MH as noted</t>
  </si>
  <si>
    <t>148-05-003</t>
  </si>
  <si>
    <t>A-144</t>
  </si>
  <si>
    <t>148-05-004</t>
  </si>
  <si>
    <t>A-147</t>
  </si>
  <si>
    <t>S-PR(1), IR (2)</t>
  </si>
  <si>
    <t>CCTV; S-PR(1), IR (2)</t>
  </si>
  <si>
    <t>148-05-007</t>
  </si>
  <si>
    <t>A-149</t>
  </si>
  <si>
    <t>EX(3); S-PR(3); IR(6)</t>
  </si>
  <si>
    <t>CCTV; EX(3); S-PR(3); IR(6)</t>
  </si>
  <si>
    <t>148-05-009</t>
  </si>
  <si>
    <t>148-05-008</t>
  </si>
  <si>
    <t>A-150</t>
  </si>
  <si>
    <t>148-05-010</t>
  </si>
  <si>
    <t>A-152</t>
  </si>
  <si>
    <t>CIPP, S-PR(7), IR (12)</t>
  </si>
  <si>
    <t>148-05-012</t>
  </si>
  <si>
    <t>148-05-011</t>
  </si>
  <si>
    <t>A-153</t>
  </si>
  <si>
    <t>CIPP; S-PR(1), IR (2)</t>
  </si>
  <si>
    <t>148-05-013</t>
  </si>
  <si>
    <t>A-154</t>
  </si>
  <si>
    <t>148-05-097</t>
  </si>
  <si>
    <t>A-157</t>
  </si>
  <si>
    <t>147-04-104</t>
  </si>
  <si>
    <t>WALLACE Road</t>
  </si>
  <si>
    <t>A-201</t>
  </si>
  <si>
    <t>CIPP; S-LL (1)</t>
  </si>
  <si>
    <t xml:space="preserve"> CIP/CONC</t>
  </si>
  <si>
    <t>107-05-010</t>
  </si>
  <si>
    <t>107-05-009</t>
  </si>
  <si>
    <t>ELISSA DR/DABBS AVE</t>
  </si>
  <si>
    <t>25/26</t>
  </si>
  <si>
    <t>A-202</t>
  </si>
  <si>
    <t>S-LL (5)</t>
  </si>
  <si>
    <t>107-05-011</t>
  </si>
  <si>
    <t>ELISSA DR</t>
  </si>
  <si>
    <t>A-203</t>
  </si>
  <si>
    <t>CIPP; S-LL(2)</t>
  </si>
  <si>
    <t xml:space="preserve">CONC </t>
  </si>
  <si>
    <t>107-05-012</t>
  </si>
  <si>
    <t>A-204</t>
  </si>
  <si>
    <t>S-LL (2)</t>
  </si>
  <si>
    <t>107-05-013</t>
  </si>
  <si>
    <t>A-205</t>
  </si>
  <si>
    <t>S-LL(3)</t>
  </si>
  <si>
    <t>107-05-014</t>
  </si>
  <si>
    <t>A-206</t>
  </si>
  <si>
    <t>CIPP; S-LL(7); IR(1)</t>
  </si>
  <si>
    <t>CONC/CIP</t>
  </si>
  <si>
    <t>107-05-015</t>
  </si>
  <si>
    <t>PATRICIA DR</t>
  </si>
  <si>
    <t>A-207</t>
  </si>
  <si>
    <t>CIPP; S-LL(2); EX</t>
  </si>
  <si>
    <t>CONC</t>
  </si>
  <si>
    <t>107-05-020</t>
  </si>
  <si>
    <t>A-208</t>
  </si>
  <si>
    <t>CIPP; EX</t>
  </si>
  <si>
    <t>107-05-021</t>
  </si>
  <si>
    <t>KAREN DR</t>
  </si>
  <si>
    <t>A-209</t>
  </si>
  <si>
    <t>CIPP; IR; S-LL (4)</t>
  </si>
  <si>
    <t>107-05-022</t>
  </si>
  <si>
    <t>A-210</t>
  </si>
  <si>
    <t>CIPP; IR; S-LL(5)</t>
  </si>
  <si>
    <t>107-05-024</t>
  </si>
  <si>
    <t>A-211</t>
  </si>
  <si>
    <t>CIPP; S-LL(3)</t>
  </si>
  <si>
    <t>107-05-025</t>
  </si>
  <si>
    <t>A-212</t>
  </si>
  <si>
    <t xml:space="preserve">VCP </t>
  </si>
  <si>
    <t>107-05-052</t>
  </si>
  <si>
    <t>107-05-053</t>
  </si>
  <si>
    <t>A-213</t>
  </si>
  <si>
    <t>CCTV; IR(2)</t>
  </si>
  <si>
    <t>107-05-054</t>
  </si>
  <si>
    <t>A-214</t>
  </si>
  <si>
    <t>CIPP; S-LL(4)</t>
  </si>
  <si>
    <t>107-05-077</t>
  </si>
  <si>
    <t>A-215</t>
  </si>
  <si>
    <t>CIPP; IR</t>
  </si>
  <si>
    <t>107-05-081</t>
  </si>
  <si>
    <t>A-216</t>
  </si>
  <si>
    <t>CIPP; EX (2); S-LL(3)</t>
  </si>
  <si>
    <t>107-05-082</t>
  </si>
  <si>
    <t>A-217</t>
  </si>
  <si>
    <t xml:space="preserve">CIPP; S-LL(4); </t>
  </si>
  <si>
    <t>107-05-087</t>
  </si>
  <si>
    <t>A-218</t>
  </si>
  <si>
    <t>CIPP; IR; S-LL(4)</t>
  </si>
  <si>
    <t>107-09-039</t>
  </si>
  <si>
    <t>107-005-083</t>
  </si>
  <si>
    <t>FIVE OAKS DR</t>
  </si>
  <si>
    <t>25/26/27/28</t>
  </si>
  <si>
    <t>A-219</t>
  </si>
  <si>
    <t>CIPP; IR(1)</t>
  </si>
  <si>
    <t>107-09-041</t>
  </si>
  <si>
    <t>107-09-040</t>
  </si>
  <si>
    <t>MASSMAN DR</t>
  </si>
  <si>
    <t>27/28</t>
  </si>
  <si>
    <t>A-220</t>
  </si>
  <si>
    <t>S-LL(1)</t>
  </si>
  <si>
    <t>107-09-042</t>
  </si>
  <si>
    <t>A-221</t>
  </si>
  <si>
    <t>107-09-043</t>
  </si>
  <si>
    <t>A-222</t>
  </si>
  <si>
    <t>107-09-044</t>
  </si>
  <si>
    <t>A-223</t>
  </si>
  <si>
    <t>107-09-045</t>
  </si>
  <si>
    <t>A-224</t>
  </si>
  <si>
    <t>CIPP; S-LL(1)</t>
  </si>
  <si>
    <t>107-09-046</t>
  </si>
  <si>
    <t>A-225</t>
  </si>
  <si>
    <t>107-09-049</t>
  </si>
  <si>
    <t>107-09-048</t>
  </si>
  <si>
    <t>A-226</t>
  </si>
  <si>
    <t>107-10-015</t>
  </si>
  <si>
    <t>107-10-002</t>
  </si>
  <si>
    <t>GLASTONBURY BLVD</t>
  </si>
  <si>
    <t>29/30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</si>
</sst>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14" fontId="1" fillId="3" borderId="5" xfId="0" applyNumberFormat="1" applyFont="1" applyFill="1" applyBorder="1" applyAlignment="1" applyProtection="1">
      <alignment horizontal="center" vertical="center" wrapText="1"/>
      <protection locked="0"/>
    </xf>
    <xf numFmtId="14" fontId="1" fillId="3" borderId="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6" xfId="0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 applyProtection="1">
      <alignment horizontal="center" vertical="center" wrapText="1"/>
      <protection locked="0"/>
    </xf>
    <xf numFmtId="1" fontId="0" fillId="2" borderId="2" xfId="0" applyNumberFormat="1" applyFill="1" applyBorder="1" applyAlignment="1" applyProtection="1">
      <alignment horizontal="center" vertical="center" wrapText="1"/>
      <protection locked="0"/>
    </xf>
    <xf numFmtId="1" fontId="0" fillId="2" borderId="8" xfId="0" applyNumberFormat="1" applyFill="1" applyBorder="1" applyAlignment="1" applyProtection="1">
      <alignment horizontal="center" vertical="center" wrapText="1"/>
      <protection locked="0"/>
    </xf>
    <xf numFmtId="14" fontId="0" fillId="3" borderId="9" xfId="0" applyNumberFormat="1" applyFill="1" applyBorder="1" applyAlignment="1" applyProtection="1">
      <alignment horizontal="center" vertical="center" wrapText="1"/>
      <protection locked="0"/>
    </xf>
    <xf numFmtId="0" fontId="0" fillId="3" borderId="7" xfId="0" applyFill="1" applyBorder="1" applyAlignment="1" applyProtection="1">
      <alignment horizontal="center" vertical="center" wrapText="1"/>
      <protection locked="0"/>
    </xf>
    <xf numFmtId="1" fontId="0" fillId="3" borderId="7" xfId="0" applyNumberFormat="1" applyFill="1" applyBorder="1" applyAlignment="1" applyProtection="1">
      <alignment horizontal="center" vertical="center" wrapText="1"/>
      <protection locked="0"/>
    </xf>
    <xf numFmtId="1" fontId="2" fillId="3" borderId="7" xfId="0" applyNumberFormat="1" applyFont="1" applyFill="1" applyBorder="1" applyAlignment="1" applyProtection="1">
      <alignment horizontal="center" vertical="center" wrapText="1"/>
      <protection locked="0"/>
    </xf>
    <xf numFmtId="1" fontId="2" fillId="3" borderId="10" xfId="0" applyNumberFormat="1" applyFont="1" applyFill="1" applyBorder="1" applyAlignment="1" applyProtection="1">
      <alignment horizontal="center" vertical="center" wrapText="1"/>
      <protection locked="0"/>
    </xf>
    <xf numFmtId="164" fontId="0" fillId="2" borderId="9" xfId="0" applyNumberForma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center" vertical="center" wrapText="1"/>
      <protection locked="0"/>
    </xf>
    <xf numFmtId="14" fontId="0" fillId="2" borderId="9" xfId="0" applyNumberFormat="1" applyFill="1" applyBorder="1" applyAlignment="1" applyProtection="1">
      <alignment horizontal="center" vertical="center" wrapText="1"/>
      <protection locked="0"/>
    </xf>
    <xf numFmtId="14" fontId="0" fillId="2" borderId="3" xfId="0" applyNumberFormat="1" applyFill="1" applyBorder="1" applyAlignment="1" applyProtection="1">
      <alignment horizontal="center" vertical="center" wrapText="1"/>
      <protection locked="0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4" borderId="8" xfId="0" applyNumberForma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1" fontId="0" fillId="4" borderId="7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" fontId="0" fillId="4" borderId="15" xfId="0" applyNumberForma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" fontId="0" fillId="4" borderId="10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" fontId="0" fillId="4" borderId="17" xfId="0" applyNumberForma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gion-my.sharepoint.com/personal/pgibbs_azuria_com/Documents/Desktop/Hopedale/HOPEDALE%20--%20INLINER%20--%20BLD%20TRACKING%20SHEET%20--%20P.%20GIBBS%204-11-2026.xlsx" TargetMode="External"/><Relationship Id="rId1" Type="http://schemas.openxmlformats.org/officeDocument/2006/relationships/externalLinkPath" Target="Hopedale/HOPEDALE%20--%20INLINER%20--%20BLD%20TRACKING%20SHEET%20--%20P.%20GIBBS%204-11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123\AAAProjects\Henry%20Ford\009%20Quantities\Quantity%20Spreadsheets\Henry%20Ford%20Master%20Work%20Sheet.xlsm" TargetMode="External"/><Relationship Id="rId1" Type="http://schemas.openxmlformats.org/officeDocument/2006/relationships/externalLinkPath" Target="file:///\\192.168.1.123\AAAProjects\Henry%20Ford\009%20Quantities\Quantity%20Spreadsheets\Henry%20Ford%20Master%20Work%20Shee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orp/AppData/Local/Microsoft/Windows/INetCache/Content.Outlook/4CJQKSRU/Bordeaux%20Master%20Spreadsheet%2024-07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-11-2026"/>
      <sheetName val="Mainline"/>
      <sheetName val="4-4-2026"/>
      <sheetName val="Services"/>
      <sheetName val="Manholes"/>
      <sheetName val="Hard Surface Restoration"/>
      <sheetName val="Point Repairs"/>
      <sheetName val="Misc Bid Items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line "/>
      <sheetName val="Services"/>
      <sheetName val="Manholes"/>
      <sheetName val="Hard Surface Restoration"/>
      <sheetName val="Point Repairs"/>
      <sheetName val="Misc Bid Items"/>
      <sheetName val="Quantities"/>
      <sheetName val="Mainline PT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D3" t="str">
            <v>B-1</v>
          </cell>
        </row>
        <row r="4">
          <cell r="D4" t="str">
            <v>B-2</v>
          </cell>
        </row>
        <row r="5">
          <cell r="D5" t="str">
            <v>B-3</v>
          </cell>
        </row>
        <row r="6">
          <cell r="D6" t="str">
            <v>B-4</v>
          </cell>
        </row>
        <row r="7">
          <cell r="D7" t="str">
            <v>B-5</v>
          </cell>
        </row>
        <row r="8">
          <cell r="D8" t="str">
            <v>B-6</v>
          </cell>
        </row>
        <row r="9">
          <cell r="D9" t="str">
            <v>B-7</v>
          </cell>
        </row>
        <row r="10">
          <cell r="D10" t="str">
            <v>B-8</v>
          </cell>
        </row>
        <row r="11">
          <cell r="D11" t="str">
            <v>B-9</v>
          </cell>
        </row>
        <row r="12">
          <cell r="D12" t="str">
            <v>B-10</v>
          </cell>
        </row>
        <row r="13">
          <cell r="D13" t="str">
            <v>B-11</v>
          </cell>
        </row>
        <row r="14">
          <cell r="D14" t="str">
            <v>B-12</v>
          </cell>
        </row>
        <row r="15">
          <cell r="D15" t="str">
            <v>B-13</v>
          </cell>
        </row>
        <row r="16">
          <cell r="D16" t="str">
            <v>B-14</v>
          </cell>
        </row>
        <row r="17">
          <cell r="D17" t="str">
            <v>B-15</v>
          </cell>
        </row>
        <row r="18">
          <cell r="D18" t="str">
            <v>B-16</v>
          </cell>
        </row>
        <row r="19">
          <cell r="D19" t="str">
            <v>B-17</v>
          </cell>
        </row>
        <row r="20">
          <cell r="D20" t="str">
            <v>B-18</v>
          </cell>
        </row>
        <row r="21">
          <cell r="D21" t="str">
            <v>B-19</v>
          </cell>
        </row>
        <row r="22">
          <cell r="D22" t="str">
            <v>B-20</v>
          </cell>
        </row>
        <row r="23">
          <cell r="D23" t="str">
            <v>B-21</v>
          </cell>
        </row>
        <row r="24">
          <cell r="D24" t="str">
            <v>B-22</v>
          </cell>
        </row>
        <row r="25">
          <cell r="D25" t="str">
            <v>B-23</v>
          </cell>
        </row>
        <row r="26">
          <cell r="D26" t="str">
            <v>B-24</v>
          </cell>
        </row>
        <row r="27">
          <cell r="D27" t="str">
            <v>B-25</v>
          </cell>
        </row>
        <row r="28">
          <cell r="D28" t="str">
            <v>B-26</v>
          </cell>
        </row>
        <row r="29">
          <cell r="D29" t="str">
            <v>B-27</v>
          </cell>
        </row>
        <row r="30">
          <cell r="D30" t="str">
            <v>B-28</v>
          </cell>
        </row>
        <row r="31">
          <cell r="D31" t="str">
            <v>B-29</v>
          </cell>
        </row>
        <row r="32">
          <cell r="D32" t="str">
            <v>B-30</v>
          </cell>
        </row>
        <row r="33">
          <cell r="D33" t="str">
            <v>B-31</v>
          </cell>
        </row>
        <row r="34">
          <cell r="D34" t="str">
            <v>B-32</v>
          </cell>
        </row>
        <row r="35">
          <cell r="D35" t="str">
            <v>B-33</v>
          </cell>
        </row>
        <row r="36">
          <cell r="D36" t="str">
            <v>B-34</v>
          </cell>
        </row>
        <row r="37">
          <cell r="D37" t="str">
            <v>B-35</v>
          </cell>
        </row>
        <row r="38">
          <cell r="D38" t="str">
            <v>B-36</v>
          </cell>
        </row>
        <row r="39">
          <cell r="D39" t="str">
            <v>B-37</v>
          </cell>
        </row>
        <row r="40">
          <cell r="D40" t="str">
            <v>B-38</v>
          </cell>
        </row>
        <row r="41">
          <cell r="D41" t="str">
            <v>B-39</v>
          </cell>
        </row>
        <row r="42">
          <cell r="D42" t="str">
            <v>B-40</v>
          </cell>
        </row>
        <row r="43">
          <cell r="D43" t="str">
            <v>B-41</v>
          </cell>
        </row>
        <row r="44">
          <cell r="D44" t="str">
            <v>B-42</v>
          </cell>
        </row>
        <row r="45">
          <cell r="D45" t="str">
            <v>B-43</v>
          </cell>
        </row>
        <row r="46">
          <cell r="D46" t="str">
            <v>B-44</v>
          </cell>
        </row>
        <row r="47">
          <cell r="D47" t="str">
            <v>B-45</v>
          </cell>
        </row>
        <row r="48">
          <cell r="D48" t="str">
            <v>B-46</v>
          </cell>
        </row>
        <row r="49">
          <cell r="D49" t="str">
            <v>B-47</v>
          </cell>
        </row>
        <row r="50">
          <cell r="D50" t="str">
            <v>B-48</v>
          </cell>
        </row>
        <row r="51">
          <cell r="D51" t="str">
            <v>B-49</v>
          </cell>
        </row>
        <row r="52">
          <cell r="D52" t="str">
            <v>B-50</v>
          </cell>
        </row>
        <row r="53">
          <cell r="D53" t="str">
            <v>B-51</v>
          </cell>
        </row>
        <row r="54">
          <cell r="D54" t="str">
            <v>B-52</v>
          </cell>
        </row>
        <row r="55">
          <cell r="D55" t="str">
            <v>B-53</v>
          </cell>
        </row>
        <row r="56">
          <cell r="D56" t="str">
            <v>B-54</v>
          </cell>
        </row>
        <row r="57">
          <cell r="D57" t="str">
            <v>B-55</v>
          </cell>
        </row>
        <row r="58">
          <cell r="D58" t="str">
            <v>B-56</v>
          </cell>
        </row>
        <row r="59">
          <cell r="D59" t="str">
            <v>B-57</v>
          </cell>
        </row>
        <row r="60">
          <cell r="D60" t="str">
            <v>B-58</v>
          </cell>
        </row>
        <row r="61">
          <cell r="D61" t="str">
            <v>B-59</v>
          </cell>
        </row>
        <row r="62">
          <cell r="D62" t="str">
            <v>B-60</v>
          </cell>
        </row>
        <row r="63">
          <cell r="D63" t="str">
            <v>B-61</v>
          </cell>
        </row>
        <row r="64">
          <cell r="D64" t="str">
            <v>B-62</v>
          </cell>
        </row>
        <row r="65">
          <cell r="D65" t="str">
            <v>B-63</v>
          </cell>
        </row>
        <row r="66">
          <cell r="D66" t="str">
            <v>B-64</v>
          </cell>
        </row>
        <row r="67">
          <cell r="D67" t="str">
            <v>B-65</v>
          </cell>
        </row>
        <row r="68">
          <cell r="D68" t="str">
            <v>B-66</v>
          </cell>
        </row>
        <row r="69">
          <cell r="D69" t="str">
            <v>B-67</v>
          </cell>
        </row>
        <row r="70">
          <cell r="D70" t="str">
            <v>B-68</v>
          </cell>
        </row>
        <row r="71">
          <cell r="D71" t="str">
            <v>B-69</v>
          </cell>
        </row>
        <row r="72">
          <cell r="D72" t="str">
            <v>B-70</v>
          </cell>
        </row>
        <row r="73">
          <cell r="D73" t="str">
            <v>B-71</v>
          </cell>
        </row>
        <row r="74">
          <cell r="D74" t="str">
            <v>B-72</v>
          </cell>
        </row>
        <row r="75">
          <cell r="D75" t="str">
            <v>B-73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E587-C75F-4159-A750-12372B5A4276}">
  <dimension ref="A1:AK130"/>
  <sheetViews>
    <sheetView tabSelected="1" zoomScale="90" zoomScaleNormal="90" workbookViewId="0">
      <pane xSplit="11" ySplit="20" topLeftCell="L21" activePane="bottomRight" state="frozen"/>
      <selection pane="topRight" activeCell="L1" sqref="L1"/>
      <selection pane="bottomLeft" activeCell="A21" sqref="A21"/>
      <selection pane="bottomRight" activeCell="O21" sqref="O21:O22"/>
    </sheetView>
  </sheetViews>
  <sheetFormatPr defaultColWidth="9.140625" defaultRowHeight="15" x14ac:dyDescent="0.25"/>
  <cols>
    <col min="1" max="1" width="9.140625" style="3"/>
    <col min="2" max="3" width="12.28515625" style="3" customWidth="1"/>
    <col min="4" max="4" width="12.7109375" style="3" customWidth="1"/>
    <col min="5" max="6" width="13.5703125" style="3" customWidth="1"/>
    <col min="7" max="7" width="9" style="3" customWidth="1"/>
    <col min="8" max="8" width="18.28515625" style="3" customWidth="1"/>
    <col min="9" max="9" width="10.42578125" style="3" customWidth="1"/>
    <col min="10" max="11" width="8.5703125" style="3" customWidth="1"/>
    <col min="12" max="12" width="11.140625" style="53" customWidth="1"/>
    <col min="13" max="13" width="12.140625" style="3" customWidth="1"/>
    <col min="14" max="24" width="9.140625" style="3"/>
    <col min="25" max="25" width="36.140625" style="3" customWidth="1"/>
    <col min="26" max="26" width="9.140625" style="54"/>
    <col min="27" max="27" width="9.140625" style="3"/>
    <col min="28" max="28" width="11.140625" style="3" customWidth="1"/>
    <col min="29" max="34" width="9.140625" style="3"/>
    <col min="35" max="36" width="11.5703125" style="53" customWidth="1"/>
    <col min="37" max="37" width="35.28515625" style="3" customWidth="1"/>
    <col min="38" max="16384" width="9.140625" style="3"/>
  </cols>
  <sheetData>
    <row r="1" spans="1:37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  <c r="L2" s="7" t="s">
        <v>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 t="s">
        <v>3</v>
      </c>
      <c r="AA2" s="10"/>
      <c r="AB2" s="10"/>
      <c r="AC2" s="10"/>
      <c r="AD2" s="10"/>
      <c r="AE2" s="10" t="s">
        <v>4</v>
      </c>
      <c r="AF2" s="10"/>
      <c r="AG2" s="10"/>
      <c r="AH2" s="10"/>
      <c r="AI2" s="9" t="s">
        <v>5</v>
      </c>
      <c r="AJ2" s="10"/>
      <c r="AK2" s="11"/>
    </row>
    <row r="3" spans="1:37" ht="45.75" thickBot="1" x14ac:dyDescent="0.3">
      <c r="A3" s="12" t="s">
        <v>6</v>
      </c>
      <c r="B3" s="12" t="s">
        <v>7</v>
      </c>
      <c r="C3" s="12" t="s">
        <v>8</v>
      </c>
      <c r="D3" s="12" t="s">
        <v>9</v>
      </c>
      <c r="E3" s="12" t="s">
        <v>10</v>
      </c>
      <c r="F3" s="12" t="s">
        <v>11</v>
      </c>
      <c r="G3" s="13" t="s">
        <v>12</v>
      </c>
      <c r="H3" s="12" t="s">
        <v>13</v>
      </c>
      <c r="I3" s="12" t="s">
        <v>14</v>
      </c>
      <c r="J3" s="13" t="s">
        <v>15</v>
      </c>
      <c r="K3" s="14" t="s">
        <v>16</v>
      </c>
      <c r="L3" s="15" t="s">
        <v>17</v>
      </c>
      <c r="M3" s="16" t="s">
        <v>18</v>
      </c>
      <c r="N3" s="17" t="s">
        <v>19</v>
      </c>
      <c r="O3" s="16" t="s">
        <v>20</v>
      </c>
      <c r="P3" s="16" t="s">
        <v>21</v>
      </c>
      <c r="Q3" s="16" t="s">
        <v>22</v>
      </c>
      <c r="R3" s="16" t="s">
        <v>23</v>
      </c>
      <c r="S3" s="16" t="s">
        <v>24</v>
      </c>
      <c r="T3" s="16" t="s">
        <v>25</v>
      </c>
      <c r="U3" s="16" t="s">
        <v>26</v>
      </c>
      <c r="V3" s="18" t="s">
        <v>27</v>
      </c>
      <c r="W3" s="16" t="s">
        <v>28</v>
      </c>
      <c r="X3" s="16" t="s">
        <v>29</v>
      </c>
      <c r="Y3" s="19" t="s">
        <v>30</v>
      </c>
      <c r="Z3" s="20" t="s">
        <v>31</v>
      </c>
      <c r="AA3" s="12" t="s">
        <v>32</v>
      </c>
      <c r="AB3" s="12" t="s">
        <v>33</v>
      </c>
      <c r="AC3" s="21" t="s">
        <v>34</v>
      </c>
      <c r="AD3" s="12" t="s">
        <v>35</v>
      </c>
      <c r="AE3" s="22" t="s">
        <v>36</v>
      </c>
      <c r="AF3" s="12" t="s">
        <v>37</v>
      </c>
      <c r="AG3" s="12" t="s">
        <v>38</v>
      </c>
      <c r="AH3" s="21" t="s">
        <v>39</v>
      </c>
      <c r="AI3" s="22" t="s">
        <v>40</v>
      </c>
      <c r="AJ3" s="23" t="s">
        <v>41</v>
      </c>
      <c r="AK3" s="24" t="s">
        <v>42</v>
      </c>
    </row>
    <row r="4" spans="1:37" ht="30.75" thickBot="1" x14ac:dyDescent="0.3">
      <c r="A4" s="25" t="s">
        <v>43</v>
      </c>
      <c r="B4" s="25" t="s">
        <v>44</v>
      </c>
      <c r="C4" s="25" t="s">
        <v>44</v>
      </c>
      <c r="D4" s="25" t="s">
        <v>45</v>
      </c>
      <c r="E4" s="25" t="s">
        <v>46</v>
      </c>
      <c r="F4" s="25" t="s">
        <v>47</v>
      </c>
      <c r="G4" s="25">
        <v>8</v>
      </c>
      <c r="H4" s="25" t="s">
        <v>48</v>
      </c>
      <c r="I4" s="25" t="s">
        <v>49</v>
      </c>
      <c r="J4" s="26">
        <v>78</v>
      </c>
      <c r="K4" s="27">
        <f>IF(N4&gt;0,N4,J4)</f>
        <v>78</v>
      </c>
      <c r="L4" s="28">
        <v>46115</v>
      </c>
      <c r="M4" s="25" t="s">
        <v>50</v>
      </c>
      <c r="N4" s="25">
        <v>78</v>
      </c>
      <c r="O4" s="25">
        <v>77.3</v>
      </c>
      <c r="P4" s="25">
        <v>2</v>
      </c>
      <c r="Q4" s="25" t="s">
        <v>51</v>
      </c>
      <c r="R4" s="25" t="s">
        <v>52</v>
      </c>
      <c r="S4" s="25" t="s">
        <v>53</v>
      </c>
      <c r="T4" s="25" t="s">
        <v>52</v>
      </c>
      <c r="U4" s="25" t="s">
        <v>45</v>
      </c>
      <c r="V4" s="25" t="s">
        <v>54</v>
      </c>
      <c r="W4" s="25" t="s">
        <v>55</v>
      </c>
      <c r="X4" s="26" t="s">
        <v>56</v>
      </c>
      <c r="Y4" s="29"/>
      <c r="Z4" s="30"/>
      <c r="AA4" s="31">
        <f t="shared" ref="AA4:AA67" si="0">IF(Z4&gt;0,K4,0)</f>
        <v>0</v>
      </c>
      <c r="AB4" s="25"/>
      <c r="AC4" s="25">
        <v>1</v>
      </c>
      <c r="AD4" s="25"/>
      <c r="AE4" s="32"/>
      <c r="AF4" s="25"/>
      <c r="AG4" s="25"/>
      <c r="AH4" s="26"/>
      <c r="AI4" s="28"/>
      <c r="AJ4" s="33"/>
      <c r="AK4" s="32"/>
    </row>
    <row r="5" spans="1:37" ht="30.75" thickBot="1" x14ac:dyDescent="0.3">
      <c r="A5" s="25" t="s">
        <v>57</v>
      </c>
      <c r="B5" s="25" t="s">
        <v>45</v>
      </c>
      <c r="C5" s="25" t="s">
        <v>45</v>
      </c>
      <c r="D5" s="25" t="s">
        <v>58</v>
      </c>
      <c r="E5" s="25" t="s">
        <v>47</v>
      </c>
      <c r="F5" s="25" t="s">
        <v>59</v>
      </c>
      <c r="G5" s="25">
        <v>8</v>
      </c>
      <c r="H5" s="25" t="s">
        <v>60</v>
      </c>
      <c r="I5" s="25" t="s">
        <v>49</v>
      </c>
      <c r="J5" s="26">
        <v>158</v>
      </c>
      <c r="K5" s="27">
        <f t="shared" ref="K5:K68" si="1">IF(N5&gt;0,N5,J5)</f>
        <v>160</v>
      </c>
      <c r="L5" s="28">
        <v>46114</v>
      </c>
      <c r="M5" s="25" t="s">
        <v>61</v>
      </c>
      <c r="N5" s="25">
        <v>160</v>
      </c>
      <c r="O5" s="25">
        <v>159.80000000000001</v>
      </c>
      <c r="P5" s="25">
        <v>0</v>
      </c>
      <c r="Q5" s="25" t="s">
        <v>53</v>
      </c>
      <c r="R5" s="25" t="s">
        <v>52</v>
      </c>
      <c r="S5" s="25" t="s">
        <v>62</v>
      </c>
      <c r="T5" s="25" t="s">
        <v>52</v>
      </c>
      <c r="U5" s="25" t="s">
        <v>58</v>
      </c>
      <c r="V5" s="25" t="s">
        <v>54</v>
      </c>
      <c r="W5" s="25" t="s">
        <v>63</v>
      </c>
      <c r="X5" s="26" t="s">
        <v>56</v>
      </c>
      <c r="Y5" s="29"/>
      <c r="Z5" s="30"/>
      <c r="AA5" s="31">
        <f t="shared" si="0"/>
        <v>0</v>
      </c>
      <c r="AB5" s="25"/>
      <c r="AC5" s="25">
        <v>0</v>
      </c>
      <c r="AD5" s="25"/>
      <c r="AE5" s="32"/>
      <c r="AF5" s="25"/>
      <c r="AG5" s="25"/>
      <c r="AH5" s="26"/>
      <c r="AI5" s="28"/>
      <c r="AJ5" s="33"/>
      <c r="AK5" s="32"/>
    </row>
    <row r="6" spans="1:37" ht="30.75" thickBot="1" x14ac:dyDescent="0.3">
      <c r="A6" s="25" t="s">
        <v>64</v>
      </c>
      <c r="B6" s="25" t="s">
        <v>45</v>
      </c>
      <c r="C6" s="25" t="s">
        <v>45</v>
      </c>
      <c r="D6" s="25" t="s">
        <v>58</v>
      </c>
      <c r="E6" s="25" t="s">
        <v>59</v>
      </c>
      <c r="F6" s="25" t="s">
        <v>65</v>
      </c>
      <c r="G6" s="25">
        <v>8</v>
      </c>
      <c r="H6" s="25" t="s">
        <v>60</v>
      </c>
      <c r="I6" s="25" t="s">
        <v>49</v>
      </c>
      <c r="J6" s="26">
        <v>38</v>
      </c>
      <c r="K6" s="27">
        <f t="shared" si="1"/>
        <v>38</v>
      </c>
      <c r="L6" s="28">
        <v>46114</v>
      </c>
      <c r="M6" s="25" t="s">
        <v>61</v>
      </c>
      <c r="N6" s="25">
        <v>38</v>
      </c>
      <c r="O6" s="25">
        <v>37.1</v>
      </c>
      <c r="P6" s="25">
        <v>0</v>
      </c>
      <c r="Q6" s="25" t="s">
        <v>62</v>
      </c>
      <c r="R6" s="25" t="s">
        <v>52</v>
      </c>
      <c r="S6" s="25" t="s">
        <v>66</v>
      </c>
      <c r="T6" s="25" t="s">
        <v>52</v>
      </c>
      <c r="U6" s="25" t="s">
        <v>58</v>
      </c>
      <c r="V6" s="25" t="s">
        <v>54</v>
      </c>
      <c r="W6" s="25" t="s">
        <v>63</v>
      </c>
      <c r="X6" s="26" t="s">
        <v>56</v>
      </c>
      <c r="Y6" s="29"/>
      <c r="Z6" s="30"/>
      <c r="AA6" s="31">
        <f t="shared" si="0"/>
        <v>0</v>
      </c>
      <c r="AB6" s="25"/>
      <c r="AC6" s="25">
        <v>0</v>
      </c>
      <c r="AD6" s="25"/>
      <c r="AE6" s="32"/>
      <c r="AF6" s="25"/>
      <c r="AG6" s="25"/>
      <c r="AH6" s="26"/>
      <c r="AI6" s="28"/>
      <c r="AJ6" s="33"/>
      <c r="AK6" s="32"/>
    </row>
    <row r="7" spans="1:37" ht="30.75" thickBot="1" x14ac:dyDescent="0.3">
      <c r="A7" s="25" t="s">
        <v>67</v>
      </c>
      <c r="B7" s="25" t="s">
        <v>68</v>
      </c>
      <c r="C7" s="25" t="s">
        <v>68</v>
      </c>
      <c r="D7" s="25" t="s">
        <v>45</v>
      </c>
      <c r="E7" s="25" t="s">
        <v>65</v>
      </c>
      <c r="F7" s="25" t="s">
        <v>69</v>
      </c>
      <c r="G7" s="25">
        <v>8</v>
      </c>
      <c r="H7" s="25" t="s">
        <v>60</v>
      </c>
      <c r="I7" s="25" t="s">
        <v>49</v>
      </c>
      <c r="J7" s="26">
        <v>65</v>
      </c>
      <c r="K7" s="27">
        <f t="shared" si="1"/>
        <v>67</v>
      </c>
      <c r="L7" s="28">
        <v>46115</v>
      </c>
      <c r="M7" s="25" t="s">
        <v>50</v>
      </c>
      <c r="N7" s="25">
        <v>67</v>
      </c>
      <c r="O7" s="25">
        <v>66.599999999999994</v>
      </c>
      <c r="P7" s="25">
        <v>0</v>
      </c>
      <c r="Q7" s="25" t="s">
        <v>66</v>
      </c>
      <c r="R7" s="25" t="s">
        <v>52</v>
      </c>
      <c r="S7" s="25" t="s">
        <v>70</v>
      </c>
      <c r="T7" s="25" t="s">
        <v>52</v>
      </c>
      <c r="U7" s="25" t="s">
        <v>45</v>
      </c>
      <c r="V7" s="25" t="s">
        <v>54</v>
      </c>
      <c r="W7" s="25" t="s">
        <v>55</v>
      </c>
      <c r="X7" s="26" t="s">
        <v>56</v>
      </c>
      <c r="Y7" s="29"/>
      <c r="Z7" s="30"/>
      <c r="AA7" s="31">
        <f t="shared" si="0"/>
        <v>0</v>
      </c>
      <c r="AB7" s="25"/>
      <c r="AC7" s="25">
        <v>0</v>
      </c>
      <c r="AD7" s="25"/>
      <c r="AE7" s="32"/>
      <c r="AF7" s="25"/>
      <c r="AG7" s="25"/>
      <c r="AH7" s="26"/>
      <c r="AI7" s="28"/>
      <c r="AJ7" s="33"/>
      <c r="AK7" s="32"/>
    </row>
    <row r="8" spans="1:37" x14ac:dyDescent="0.25">
      <c r="A8" s="25" t="s">
        <v>71</v>
      </c>
      <c r="B8" s="25" t="s">
        <v>44</v>
      </c>
      <c r="C8" s="25" t="s">
        <v>44</v>
      </c>
      <c r="D8" s="25" t="s">
        <v>45</v>
      </c>
      <c r="E8" s="25" t="s">
        <v>69</v>
      </c>
      <c r="F8" s="25" t="s">
        <v>72</v>
      </c>
      <c r="G8" s="25">
        <v>8</v>
      </c>
      <c r="H8" s="25" t="s">
        <v>48</v>
      </c>
      <c r="I8" s="25" t="s">
        <v>49</v>
      </c>
      <c r="J8" s="26">
        <v>127</v>
      </c>
      <c r="K8" s="27">
        <f t="shared" si="1"/>
        <v>127</v>
      </c>
      <c r="L8" s="28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34"/>
      <c r="Z8" s="30"/>
      <c r="AA8" s="31">
        <f t="shared" si="0"/>
        <v>0</v>
      </c>
      <c r="AB8" s="25"/>
      <c r="AC8" s="25">
        <v>1</v>
      </c>
      <c r="AD8" s="25"/>
      <c r="AE8" s="32"/>
      <c r="AF8" s="25"/>
      <c r="AG8" s="25"/>
      <c r="AH8" s="26"/>
      <c r="AI8" s="28"/>
      <c r="AJ8" s="33"/>
      <c r="AK8" s="32"/>
    </row>
    <row r="9" spans="1:37" x14ac:dyDescent="0.25">
      <c r="A9" s="25" t="s">
        <v>73</v>
      </c>
      <c r="B9" s="25" t="s">
        <v>44</v>
      </c>
      <c r="C9" s="25" t="s">
        <v>44</v>
      </c>
      <c r="D9" s="25" t="s">
        <v>45</v>
      </c>
      <c r="E9" s="25" t="s">
        <v>72</v>
      </c>
      <c r="F9" s="25" t="s">
        <v>74</v>
      </c>
      <c r="G9" s="25">
        <v>8</v>
      </c>
      <c r="H9" s="25" t="s">
        <v>60</v>
      </c>
      <c r="I9" s="25" t="s">
        <v>49</v>
      </c>
      <c r="J9" s="26">
        <v>143</v>
      </c>
      <c r="K9" s="27">
        <f t="shared" si="1"/>
        <v>143</v>
      </c>
      <c r="L9" s="28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30"/>
      <c r="AA9" s="31">
        <f t="shared" si="0"/>
        <v>0</v>
      </c>
      <c r="AB9" s="25"/>
      <c r="AC9" s="25">
        <v>1</v>
      </c>
      <c r="AD9" s="25"/>
      <c r="AE9" s="32"/>
      <c r="AF9" s="25"/>
      <c r="AG9" s="25"/>
      <c r="AH9" s="26"/>
      <c r="AI9" s="28"/>
      <c r="AJ9" s="33"/>
      <c r="AK9" s="32"/>
    </row>
    <row r="10" spans="1:37" ht="15.75" thickBot="1" x14ac:dyDescent="0.3">
      <c r="A10" s="25" t="s">
        <v>75</v>
      </c>
      <c r="B10" s="25" t="s">
        <v>44</v>
      </c>
      <c r="C10" s="25" t="s">
        <v>44</v>
      </c>
      <c r="D10" s="25" t="s">
        <v>45</v>
      </c>
      <c r="E10" s="25" t="s">
        <v>76</v>
      </c>
      <c r="F10" s="25" t="s">
        <v>72</v>
      </c>
      <c r="G10" s="25">
        <v>8</v>
      </c>
      <c r="H10" s="25" t="s">
        <v>60</v>
      </c>
      <c r="I10" s="25" t="s">
        <v>49</v>
      </c>
      <c r="J10" s="26">
        <v>84</v>
      </c>
      <c r="K10" s="27">
        <f t="shared" si="1"/>
        <v>84</v>
      </c>
      <c r="L10" s="28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35"/>
      <c r="Z10" s="30"/>
      <c r="AA10" s="31">
        <f t="shared" si="0"/>
        <v>0</v>
      </c>
      <c r="AB10" s="25"/>
      <c r="AC10" s="25">
        <v>1</v>
      </c>
      <c r="AD10" s="25"/>
      <c r="AE10" s="32"/>
      <c r="AF10" s="25"/>
      <c r="AG10" s="25"/>
      <c r="AH10" s="26"/>
      <c r="AI10" s="28"/>
      <c r="AJ10" s="33"/>
      <c r="AK10" s="32"/>
    </row>
    <row r="11" spans="1:37" ht="30.75" thickBot="1" x14ac:dyDescent="0.3">
      <c r="A11" s="25" t="s">
        <v>77</v>
      </c>
      <c r="B11" s="25" t="s">
        <v>45</v>
      </c>
      <c r="C11" s="25" t="s">
        <v>45</v>
      </c>
      <c r="D11" s="25" t="s">
        <v>58</v>
      </c>
      <c r="E11" s="25" t="s">
        <v>78</v>
      </c>
      <c r="F11" s="25" t="s">
        <v>79</v>
      </c>
      <c r="G11" s="25">
        <v>8</v>
      </c>
      <c r="H11" s="25" t="s">
        <v>60</v>
      </c>
      <c r="I11" s="25" t="s">
        <v>49</v>
      </c>
      <c r="J11" s="26">
        <v>167</v>
      </c>
      <c r="K11" s="27">
        <f t="shared" si="1"/>
        <v>167</v>
      </c>
      <c r="L11" s="28">
        <v>46114</v>
      </c>
      <c r="M11" s="25" t="s">
        <v>50</v>
      </c>
      <c r="N11" s="25">
        <v>167</v>
      </c>
      <c r="O11" s="25">
        <v>166.7</v>
      </c>
      <c r="P11" s="25">
        <v>2</v>
      </c>
      <c r="Q11" s="25" t="s">
        <v>80</v>
      </c>
      <c r="R11" s="25" t="s">
        <v>52</v>
      </c>
      <c r="S11" s="25" t="s">
        <v>81</v>
      </c>
      <c r="T11" s="25" t="s">
        <v>52</v>
      </c>
      <c r="U11" s="25" t="s">
        <v>58</v>
      </c>
      <c r="V11" s="25" t="s">
        <v>54</v>
      </c>
      <c r="W11" s="25" t="s">
        <v>63</v>
      </c>
      <c r="X11" s="26" t="s">
        <v>56</v>
      </c>
      <c r="Y11" s="29"/>
      <c r="Z11" s="30"/>
      <c r="AA11" s="31">
        <f t="shared" si="0"/>
        <v>0</v>
      </c>
      <c r="AB11" s="25"/>
      <c r="AC11" s="25">
        <v>2</v>
      </c>
      <c r="AD11" s="25"/>
      <c r="AE11" s="32"/>
      <c r="AF11" s="25"/>
      <c r="AG11" s="25"/>
      <c r="AH11" s="26"/>
      <c r="AI11" s="28"/>
      <c r="AJ11" s="33"/>
      <c r="AK11" s="32"/>
    </row>
    <row r="12" spans="1:37" ht="45.75" thickBot="1" x14ac:dyDescent="0.3">
      <c r="A12" s="25" t="s">
        <v>82</v>
      </c>
      <c r="B12" s="25" t="s">
        <v>45</v>
      </c>
      <c r="C12" s="25" t="s">
        <v>45</v>
      </c>
      <c r="D12" s="25" t="s">
        <v>58</v>
      </c>
      <c r="E12" s="25" t="s">
        <v>83</v>
      </c>
      <c r="F12" s="25" t="s">
        <v>78</v>
      </c>
      <c r="G12" s="25">
        <v>8</v>
      </c>
      <c r="H12" s="25" t="s">
        <v>84</v>
      </c>
      <c r="I12" s="25" t="s">
        <v>49</v>
      </c>
      <c r="J12" s="26">
        <v>203</v>
      </c>
      <c r="K12" s="27">
        <f t="shared" si="1"/>
        <v>202</v>
      </c>
      <c r="L12" s="28">
        <v>46114</v>
      </c>
      <c r="M12" s="25" t="s">
        <v>61</v>
      </c>
      <c r="N12" s="25">
        <v>202</v>
      </c>
      <c r="O12" s="25">
        <v>201.4</v>
      </c>
      <c r="P12" s="25">
        <v>1</v>
      </c>
      <c r="Q12" s="25" t="s">
        <v>85</v>
      </c>
      <c r="R12" s="25" t="s">
        <v>52</v>
      </c>
      <c r="S12" s="25" t="s">
        <v>80</v>
      </c>
      <c r="T12" s="25" t="s">
        <v>52</v>
      </c>
      <c r="U12" s="25" t="s">
        <v>58</v>
      </c>
      <c r="V12" s="25" t="s">
        <v>54</v>
      </c>
      <c r="W12" s="25" t="s">
        <v>86</v>
      </c>
      <c r="X12" s="26" t="s">
        <v>56</v>
      </c>
      <c r="Y12" s="29" t="s">
        <v>87</v>
      </c>
      <c r="Z12" s="30"/>
      <c r="AA12" s="31">
        <f t="shared" si="0"/>
        <v>0</v>
      </c>
      <c r="AB12" s="25"/>
      <c r="AC12" s="25">
        <v>2</v>
      </c>
      <c r="AD12" s="25"/>
      <c r="AE12" s="32"/>
      <c r="AF12" s="25"/>
      <c r="AG12" s="25"/>
      <c r="AH12" s="26"/>
      <c r="AI12" s="28"/>
      <c r="AJ12" s="33"/>
      <c r="AK12" s="32"/>
    </row>
    <row r="13" spans="1:37" ht="30.75" thickBot="1" x14ac:dyDescent="0.3">
      <c r="A13" s="25" t="s">
        <v>88</v>
      </c>
      <c r="B13" s="25" t="s">
        <v>45</v>
      </c>
      <c r="C13" s="25" t="s">
        <v>45</v>
      </c>
      <c r="D13" s="25" t="s">
        <v>58</v>
      </c>
      <c r="E13" s="25" t="s">
        <v>89</v>
      </c>
      <c r="F13" s="25" t="s">
        <v>78</v>
      </c>
      <c r="G13" s="25">
        <v>8</v>
      </c>
      <c r="H13" s="25" t="s">
        <v>60</v>
      </c>
      <c r="I13" s="25" t="s">
        <v>49</v>
      </c>
      <c r="J13" s="26">
        <v>123</v>
      </c>
      <c r="K13" s="27">
        <f t="shared" si="1"/>
        <v>122</v>
      </c>
      <c r="L13" s="28">
        <v>46114</v>
      </c>
      <c r="M13" s="25" t="s">
        <v>61</v>
      </c>
      <c r="N13" s="25">
        <v>122</v>
      </c>
      <c r="O13" s="25">
        <v>121.9</v>
      </c>
      <c r="P13" s="25">
        <v>0</v>
      </c>
      <c r="Q13" s="25" t="s">
        <v>90</v>
      </c>
      <c r="R13" s="25" t="s">
        <v>52</v>
      </c>
      <c r="S13" s="25" t="s">
        <v>80</v>
      </c>
      <c r="T13" s="25" t="s">
        <v>52</v>
      </c>
      <c r="U13" s="25" t="s">
        <v>58</v>
      </c>
      <c r="V13" s="25" t="s">
        <v>54</v>
      </c>
      <c r="W13" s="25" t="s">
        <v>63</v>
      </c>
      <c r="X13" s="26" t="s">
        <v>56</v>
      </c>
      <c r="Y13" s="29"/>
      <c r="Z13" s="30"/>
      <c r="AA13" s="31">
        <f t="shared" si="0"/>
        <v>0</v>
      </c>
      <c r="AB13" s="25"/>
      <c r="AC13" s="25">
        <v>0</v>
      </c>
      <c r="AD13" s="25"/>
      <c r="AE13" s="32"/>
      <c r="AF13" s="25"/>
      <c r="AG13" s="25"/>
      <c r="AH13" s="26"/>
      <c r="AI13" s="28"/>
      <c r="AJ13" s="33"/>
      <c r="AK13" s="32"/>
    </row>
    <row r="14" spans="1:37" x14ac:dyDescent="0.25">
      <c r="A14" s="25" t="s">
        <v>91</v>
      </c>
      <c r="B14" s="25" t="s">
        <v>92</v>
      </c>
      <c r="C14" s="25" t="s">
        <v>92</v>
      </c>
      <c r="D14" s="25" t="s">
        <v>45</v>
      </c>
      <c r="E14" s="25" t="s">
        <v>93</v>
      </c>
      <c r="F14" s="25" t="s">
        <v>76</v>
      </c>
      <c r="G14" s="25">
        <v>8</v>
      </c>
      <c r="H14" s="25" t="s">
        <v>60</v>
      </c>
      <c r="I14" s="25" t="s">
        <v>49</v>
      </c>
      <c r="J14" s="26">
        <v>332</v>
      </c>
      <c r="K14" s="27">
        <f t="shared" si="1"/>
        <v>332</v>
      </c>
      <c r="L14" s="28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34"/>
      <c r="Z14" s="30"/>
      <c r="AA14" s="31">
        <f t="shared" si="0"/>
        <v>0</v>
      </c>
      <c r="AB14" s="25"/>
      <c r="AC14" s="25">
        <v>4</v>
      </c>
      <c r="AD14" s="25"/>
      <c r="AE14" s="32"/>
      <c r="AF14" s="25"/>
      <c r="AG14" s="25"/>
      <c r="AH14" s="26"/>
      <c r="AI14" s="28"/>
      <c r="AJ14" s="33"/>
      <c r="AK14" s="32"/>
    </row>
    <row r="15" spans="1:37" ht="15.75" thickBot="1" x14ac:dyDescent="0.3">
      <c r="A15" s="25" t="s">
        <v>94</v>
      </c>
      <c r="B15" s="25" t="s">
        <v>95</v>
      </c>
      <c r="C15" s="25" t="s">
        <v>96</v>
      </c>
      <c r="D15" s="25" t="s">
        <v>45</v>
      </c>
      <c r="E15" s="25" t="s">
        <v>97</v>
      </c>
      <c r="F15" s="25" t="s">
        <v>93</v>
      </c>
      <c r="G15" s="25">
        <v>8</v>
      </c>
      <c r="H15" s="25" t="s">
        <v>60</v>
      </c>
      <c r="I15" s="25" t="s">
        <v>49</v>
      </c>
      <c r="J15" s="26">
        <v>115</v>
      </c>
      <c r="K15" s="27">
        <f t="shared" si="1"/>
        <v>115</v>
      </c>
      <c r="L15" s="28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35"/>
      <c r="Z15" s="30"/>
      <c r="AA15" s="31">
        <f t="shared" si="0"/>
        <v>0</v>
      </c>
      <c r="AB15" s="25"/>
      <c r="AC15" s="25">
        <v>2</v>
      </c>
      <c r="AD15" s="25"/>
      <c r="AE15" s="32"/>
      <c r="AF15" s="25"/>
      <c r="AG15" s="25"/>
      <c r="AH15" s="26"/>
      <c r="AI15" s="28"/>
      <c r="AJ15" s="33"/>
      <c r="AK15" s="32"/>
    </row>
    <row r="16" spans="1:37" ht="45.75" thickBot="1" x14ac:dyDescent="0.3">
      <c r="A16" s="25" t="s">
        <v>98</v>
      </c>
      <c r="B16" s="25" t="s">
        <v>45</v>
      </c>
      <c r="C16" s="25" t="s">
        <v>45</v>
      </c>
      <c r="D16" s="25" t="s">
        <v>58</v>
      </c>
      <c r="E16" s="25" t="s">
        <v>99</v>
      </c>
      <c r="F16" s="25" t="s">
        <v>89</v>
      </c>
      <c r="G16" s="25">
        <v>8</v>
      </c>
      <c r="H16" s="25" t="s">
        <v>60</v>
      </c>
      <c r="I16" s="25" t="s">
        <v>49</v>
      </c>
      <c r="J16" s="26">
        <v>269</v>
      </c>
      <c r="K16" s="27">
        <f t="shared" si="1"/>
        <v>270</v>
      </c>
      <c r="L16" s="28">
        <v>46114</v>
      </c>
      <c r="M16" s="25" t="s">
        <v>61</v>
      </c>
      <c r="N16" s="25">
        <v>270</v>
      </c>
      <c r="O16" s="25">
        <v>269.8</v>
      </c>
      <c r="P16" s="25">
        <v>4</v>
      </c>
      <c r="Q16" s="25" t="s">
        <v>100</v>
      </c>
      <c r="R16" s="25" t="s">
        <v>54</v>
      </c>
      <c r="S16" s="25" t="s">
        <v>90</v>
      </c>
      <c r="T16" s="25" t="s">
        <v>52</v>
      </c>
      <c r="U16" s="25" t="s">
        <v>58</v>
      </c>
      <c r="V16" s="25" t="s">
        <v>54</v>
      </c>
      <c r="W16" s="25" t="s">
        <v>86</v>
      </c>
      <c r="X16" s="26" t="s">
        <v>56</v>
      </c>
      <c r="Y16" s="29" t="s">
        <v>101</v>
      </c>
      <c r="Z16" s="30"/>
      <c r="AA16" s="31">
        <f t="shared" si="0"/>
        <v>0</v>
      </c>
      <c r="AB16" s="25"/>
      <c r="AC16" s="25">
        <v>4</v>
      </c>
      <c r="AD16" s="25"/>
      <c r="AE16" s="32"/>
      <c r="AF16" s="25"/>
      <c r="AG16" s="25"/>
      <c r="AH16" s="26"/>
      <c r="AI16" s="28"/>
      <c r="AJ16" s="33"/>
      <c r="AK16" s="32"/>
    </row>
    <row r="17" spans="1:37" x14ac:dyDescent="0.25">
      <c r="A17" s="25" t="s">
        <v>102</v>
      </c>
      <c r="B17" s="25" t="s">
        <v>45</v>
      </c>
      <c r="C17" s="25" t="s">
        <v>45</v>
      </c>
      <c r="D17" s="25" t="s">
        <v>58</v>
      </c>
      <c r="E17" s="25" t="s">
        <v>103</v>
      </c>
      <c r="F17" s="25" t="s">
        <v>104</v>
      </c>
      <c r="G17" s="25">
        <v>8</v>
      </c>
      <c r="H17" s="25" t="s">
        <v>60</v>
      </c>
      <c r="I17" s="25" t="s">
        <v>105</v>
      </c>
      <c r="J17" s="26">
        <v>320</v>
      </c>
      <c r="K17" s="27">
        <f t="shared" si="1"/>
        <v>320</v>
      </c>
      <c r="L17" s="28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34"/>
      <c r="Z17" s="30"/>
      <c r="AA17" s="31">
        <f t="shared" si="0"/>
        <v>0</v>
      </c>
      <c r="AB17" s="25"/>
      <c r="AC17" s="25">
        <v>5</v>
      </c>
      <c r="AD17" s="25"/>
      <c r="AE17" s="32"/>
      <c r="AF17" s="25"/>
      <c r="AG17" s="25"/>
      <c r="AH17" s="26"/>
      <c r="AI17" s="28"/>
      <c r="AJ17" s="33"/>
      <c r="AK17" s="32"/>
    </row>
    <row r="18" spans="1:37" x14ac:dyDescent="0.25">
      <c r="A18" s="25" t="s">
        <v>106</v>
      </c>
      <c r="B18" s="25" t="s">
        <v>107</v>
      </c>
      <c r="C18" s="25" t="s">
        <v>107</v>
      </c>
      <c r="D18" s="25" t="s">
        <v>108</v>
      </c>
      <c r="E18" s="25" t="s">
        <v>109</v>
      </c>
      <c r="F18" s="25" t="s">
        <v>110</v>
      </c>
      <c r="G18" s="25">
        <v>8</v>
      </c>
      <c r="H18" s="25" t="s">
        <v>111</v>
      </c>
      <c r="I18" s="25" t="s">
        <v>49</v>
      </c>
      <c r="J18" s="26">
        <v>125</v>
      </c>
      <c r="K18" s="27">
        <f t="shared" si="1"/>
        <v>125</v>
      </c>
      <c r="L18" s="28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30"/>
      <c r="AA18" s="31">
        <f t="shared" si="0"/>
        <v>0</v>
      </c>
      <c r="AB18" s="25"/>
      <c r="AC18" s="25">
        <v>1</v>
      </c>
      <c r="AD18" s="25"/>
      <c r="AE18" s="32"/>
      <c r="AF18" s="25"/>
      <c r="AG18" s="25"/>
      <c r="AH18" s="26"/>
      <c r="AI18" s="28"/>
      <c r="AJ18" s="33"/>
      <c r="AK18" s="32"/>
    </row>
    <row r="19" spans="1:37" x14ac:dyDescent="0.25">
      <c r="A19" s="25" t="s">
        <v>112</v>
      </c>
      <c r="B19" s="25" t="s">
        <v>44</v>
      </c>
      <c r="C19" s="25" t="s">
        <v>44</v>
      </c>
      <c r="D19" s="25" t="s">
        <v>108</v>
      </c>
      <c r="E19" s="25" t="s">
        <v>113</v>
      </c>
      <c r="F19" s="25" t="s">
        <v>109</v>
      </c>
      <c r="G19" s="25">
        <v>8</v>
      </c>
      <c r="H19" s="25" t="s">
        <v>111</v>
      </c>
      <c r="I19" s="25" t="s">
        <v>49</v>
      </c>
      <c r="J19" s="26">
        <v>278</v>
      </c>
      <c r="K19" s="27">
        <f t="shared" si="1"/>
        <v>278</v>
      </c>
      <c r="L19" s="28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30"/>
      <c r="AA19" s="31">
        <f t="shared" si="0"/>
        <v>0</v>
      </c>
      <c r="AB19" s="25"/>
      <c r="AC19" s="25">
        <v>3</v>
      </c>
      <c r="AD19" s="25"/>
      <c r="AE19" s="32"/>
      <c r="AF19" s="25"/>
      <c r="AG19" s="25"/>
      <c r="AH19" s="26"/>
      <c r="AI19" s="28"/>
      <c r="AJ19" s="33"/>
      <c r="AK19" s="32"/>
    </row>
    <row r="20" spans="1:37" x14ac:dyDescent="0.25">
      <c r="A20" s="25" t="s">
        <v>114</v>
      </c>
      <c r="B20" s="25" t="s">
        <v>44</v>
      </c>
      <c r="C20" s="25" t="s">
        <v>44</v>
      </c>
      <c r="D20" s="25" t="s">
        <v>108</v>
      </c>
      <c r="E20" s="25" t="s">
        <v>115</v>
      </c>
      <c r="F20" s="25" t="s">
        <v>113</v>
      </c>
      <c r="G20" s="25">
        <v>8</v>
      </c>
      <c r="H20" s="25" t="s">
        <v>116</v>
      </c>
      <c r="I20" s="25" t="s">
        <v>49</v>
      </c>
      <c r="J20" s="26">
        <v>255</v>
      </c>
      <c r="K20" s="27">
        <f t="shared" si="1"/>
        <v>255</v>
      </c>
      <c r="L20" s="28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30"/>
      <c r="AA20" s="31">
        <f t="shared" si="0"/>
        <v>0</v>
      </c>
      <c r="AB20" s="25"/>
      <c r="AC20" s="25">
        <v>2</v>
      </c>
      <c r="AD20" s="25"/>
      <c r="AE20" s="32"/>
      <c r="AF20" s="25"/>
      <c r="AG20" s="25"/>
      <c r="AH20" s="26"/>
      <c r="AI20" s="28"/>
      <c r="AJ20" s="33"/>
      <c r="AK20" s="32"/>
    </row>
    <row r="21" spans="1:37" ht="30" x14ac:dyDescent="0.25">
      <c r="A21" s="25" t="s">
        <v>117</v>
      </c>
      <c r="B21" s="25" t="s">
        <v>68</v>
      </c>
      <c r="C21" s="25" t="s">
        <v>68</v>
      </c>
      <c r="D21" s="25" t="s">
        <v>118</v>
      </c>
      <c r="E21" s="25" t="s">
        <v>119</v>
      </c>
      <c r="F21" s="25" t="s">
        <v>115</v>
      </c>
      <c r="G21" s="25">
        <v>8</v>
      </c>
      <c r="H21" s="25" t="s">
        <v>116</v>
      </c>
      <c r="I21" s="25" t="s">
        <v>49</v>
      </c>
      <c r="J21" s="26">
        <v>73</v>
      </c>
      <c r="K21" s="27">
        <f t="shared" si="1"/>
        <v>74</v>
      </c>
      <c r="L21" s="28">
        <v>46118</v>
      </c>
      <c r="M21" s="25" t="s">
        <v>50</v>
      </c>
      <c r="N21" s="25">
        <v>74</v>
      </c>
      <c r="O21" s="25">
        <v>73.099999999999994</v>
      </c>
      <c r="P21" s="25">
        <v>0</v>
      </c>
      <c r="Q21" s="25" t="s">
        <v>120</v>
      </c>
      <c r="R21" s="25" t="s">
        <v>52</v>
      </c>
      <c r="S21" s="25" t="s">
        <v>121</v>
      </c>
      <c r="T21" s="25" t="s">
        <v>52</v>
      </c>
      <c r="U21" s="25" t="s">
        <v>122</v>
      </c>
      <c r="V21" s="25" t="s">
        <v>54</v>
      </c>
      <c r="W21" s="25" t="s">
        <v>63</v>
      </c>
      <c r="X21" s="25" t="s">
        <v>56</v>
      </c>
      <c r="Y21" s="25"/>
      <c r="Z21" s="30"/>
      <c r="AA21" s="31">
        <f t="shared" si="0"/>
        <v>0</v>
      </c>
      <c r="AB21" s="25"/>
      <c r="AC21" s="25">
        <v>0</v>
      </c>
      <c r="AD21" s="25"/>
      <c r="AE21" s="32"/>
      <c r="AF21" s="25"/>
      <c r="AG21" s="25"/>
      <c r="AH21" s="26"/>
      <c r="AI21" s="28"/>
      <c r="AJ21" s="33"/>
      <c r="AK21" s="32"/>
    </row>
    <row r="22" spans="1:37" ht="30" x14ac:dyDescent="0.25">
      <c r="A22" s="25" t="s">
        <v>123</v>
      </c>
      <c r="B22" s="25" t="s">
        <v>68</v>
      </c>
      <c r="C22" s="25" t="s">
        <v>68</v>
      </c>
      <c r="D22" s="25" t="s">
        <v>108</v>
      </c>
      <c r="E22" s="25" t="s">
        <v>124</v>
      </c>
      <c r="F22" s="25" t="s">
        <v>119</v>
      </c>
      <c r="G22" s="25">
        <v>8</v>
      </c>
      <c r="H22" s="25" t="s">
        <v>116</v>
      </c>
      <c r="I22" s="25" t="s">
        <v>49</v>
      </c>
      <c r="J22" s="26">
        <v>98</v>
      </c>
      <c r="K22" s="27">
        <f t="shared" si="1"/>
        <v>102</v>
      </c>
      <c r="L22" s="28">
        <v>46118</v>
      </c>
      <c r="M22" s="25" t="s">
        <v>61</v>
      </c>
      <c r="N22" s="25">
        <v>102</v>
      </c>
      <c r="O22" s="25">
        <v>101.5</v>
      </c>
      <c r="P22" s="25">
        <v>1</v>
      </c>
      <c r="Q22" s="25" t="s">
        <v>125</v>
      </c>
      <c r="R22" s="25" t="s">
        <v>52</v>
      </c>
      <c r="S22" s="25" t="s">
        <v>121</v>
      </c>
      <c r="T22" s="25" t="s">
        <v>52</v>
      </c>
      <c r="U22" s="25" t="s">
        <v>108</v>
      </c>
      <c r="V22" s="25" t="s">
        <v>54</v>
      </c>
      <c r="W22" s="25" t="s">
        <v>63</v>
      </c>
      <c r="X22" s="25" t="s">
        <v>56</v>
      </c>
      <c r="Y22" s="25"/>
      <c r="Z22" s="30"/>
      <c r="AA22" s="31">
        <f t="shared" si="0"/>
        <v>0</v>
      </c>
      <c r="AB22" s="25"/>
      <c r="AC22" s="25">
        <v>2</v>
      </c>
      <c r="AD22" s="25"/>
      <c r="AE22" s="32"/>
      <c r="AF22" s="25"/>
      <c r="AG22" s="25"/>
      <c r="AH22" s="26"/>
      <c r="AI22" s="28"/>
      <c r="AJ22" s="33"/>
      <c r="AK22" s="32"/>
    </row>
    <row r="23" spans="1:37" x14ac:dyDescent="0.25">
      <c r="A23" s="25" t="s">
        <v>126</v>
      </c>
      <c r="B23" s="25" t="s">
        <v>44</v>
      </c>
      <c r="C23" s="25" t="s">
        <v>44</v>
      </c>
      <c r="D23" s="25" t="s">
        <v>118</v>
      </c>
      <c r="E23" s="25" t="s">
        <v>127</v>
      </c>
      <c r="F23" s="25" t="s">
        <v>128</v>
      </c>
      <c r="G23" s="25">
        <v>8</v>
      </c>
      <c r="H23" s="25" t="s">
        <v>129</v>
      </c>
      <c r="I23" s="25" t="s">
        <v>49</v>
      </c>
      <c r="J23" s="26">
        <v>258</v>
      </c>
      <c r="K23" s="27">
        <f t="shared" si="1"/>
        <v>258</v>
      </c>
      <c r="L23" s="28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30"/>
      <c r="AA23" s="31">
        <f t="shared" si="0"/>
        <v>0</v>
      </c>
      <c r="AB23" s="25"/>
      <c r="AC23" s="25">
        <v>1</v>
      </c>
      <c r="AD23" s="25"/>
      <c r="AE23" s="32"/>
      <c r="AF23" s="25"/>
      <c r="AG23" s="25"/>
      <c r="AH23" s="26"/>
      <c r="AI23" s="28"/>
      <c r="AJ23" s="33"/>
      <c r="AK23" s="32"/>
    </row>
    <row r="24" spans="1:37" ht="30" x14ac:dyDescent="0.25">
      <c r="A24" s="25" t="s">
        <v>130</v>
      </c>
      <c r="B24" s="25" t="s">
        <v>44</v>
      </c>
      <c r="C24" s="25" t="s">
        <v>44</v>
      </c>
      <c r="D24" s="25" t="s">
        <v>108</v>
      </c>
      <c r="E24" s="25" t="s">
        <v>131</v>
      </c>
      <c r="F24" s="25" t="s">
        <v>127</v>
      </c>
      <c r="G24" s="25">
        <v>8</v>
      </c>
      <c r="H24" s="25" t="s">
        <v>129</v>
      </c>
      <c r="I24" s="25" t="s">
        <v>49</v>
      </c>
      <c r="J24" s="26">
        <v>115</v>
      </c>
      <c r="K24" s="27">
        <f t="shared" si="1"/>
        <v>113</v>
      </c>
      <c r="L24" s="28">
        <v>46118</v>
      </c>
      <c r="M24" s="25" t="s">
        <v>50</v>
      </c>
      <c r="N24" s="25">
        <v>113</v>
      </c>
      <c r="O24" s="25">
        <v>112.2</v>
      </c>
      <c r="P24" s="25">
        <v>1</v>
      </c>
      <c r="Q24" s="25" t="s">
        <v>132</v>
      </c>
      <c r="R24" s="25" t="s">
        <v>52</v>
      </c>
      <c r="S24" s="25" t="s">
        <v>133</v>
      </c>
      <c r="T24" s="25" t="s">
        <v>52</v>
      </c>
      <c r="U24" s="25" t="s">
        <v>108</v>
      </c>
      <c r="V24" s="25" t="s">
        <v>54</v>
      </c>
      <c r="W24" s="25" t="s">
        <v>63</v>
      </c>
      <c r="X24" s="25" t="s">
        <v>56</v>
      </c>
      <c r="Y24" s="25"/>
      <c r="Z24" s="30"/>
      <c r="AA24" s="31">
        <f t="shared" si="0"/>
        <v>0</v>
      </c>
      <c r="AB24" s="25"/>
      <c r="AC24" s="25">
        <v>1</v>
      </c>
      <c r="AD24" s="25"/>
      <c r="AE24" s="32"/>
      <c r="AF24" s="25"/>
      <c r="AG24" s="25"/>
      <c r="AH24" s="26"/>
      <c r="AI24" s="28"/>
      <c r="AJ24" s="33"/>
      <c r="AK24" s="32"/>
    </row>
    <row r="25" spans="1:37" ht="30" x14ac:dyDescent="0.25">
      <c r="A25" s="25" t="s">
        <v>134</v>
      </c>
      <c r="B25" s="25" t="s">
        <v>44</v>
      </c>
      <c r="C25" s="25" t="s">
        <v>44</v>
      </c>
      <c r="D25" s="25" t="s">
        <v>108</v>
      </c>
      <c r="E25" s="25" t="s">
        <v>135</v>
      </c>
      <c r="F25" s="25" t="s">
        <v>131</v>
      </c>
      <c r="G25" s="25">
        <v>8</v>
      </c>
      <c r="H25" s="25" t="s">
        <v>111</v>
      </c>
      <c r="I25" s="25" t="s">
        <v>49</v>
      </c>
      <c r="J25" s="26">
        <v>193</v>
      </c>
      <c r="K25" s="27">
        <f t="shared" si="1"/>
        <v>194</v>
      </c>
      <c r="L25" s="28">
        <v>46118</v>
      </c>
      <c r="M25" s="25" t="s">
        <v>61</v>
      </c>
      <c r="N25" s="25">
        <v>194</v>
      </c>
      <c r="O25" s="25">
        <v>193.5</v>
      </c>
      <c r="P25" s="25">
        <v>0</v>
      </c>
      <c r="Q25" s="25" t="s">
        <v>70</v>
      </c>
      <c r="R25" s="25" t="s">
        <v>52</v>
      </c>
      <c r="S25" s="25" t="s">
        <v>132</v>
      </c>
      <c r="T25" s="25" t="s">
        <v>52</v>
      </c>
      <c r="U25" s="25" t="s">
        <v>108</v>
      </c>
      <c r="V25" s="25" t="s">
        <v>54</v>
      </c>
      <c r="W25" s="25" t="s">
        <v>63</v>
      </c>
      <c r="X25" s="25" t="s">
        <v>56</v>
      </c>
      <c r="Y25" s="25"/>
      <c r="Z25" s="30"/>
      <c r="AA25" s="31">
        <f t="shared" si="0"/>
        <v>0</v>
      </c>
      <c r="AB25" s="25"/>
      <c r="AC25" s="25">
        <v>0</v>
      </c>
      <c r="AD25" s="25"/>
      <c r="AE25" s="32"/>
      <c r="AF25" s="25"/>
      <c r="AG25" s="25"/>
      <c r="AH25" s="26"/>
      <c r="AI25" s="28"/>
      <c r="AJ25" s="33"/>
      <c r="AK25" s="32"/>
    </row>
    <row r="26" spans="1:37" ht="30" x14ac:dyDescent="0.25">
      <c r="A26" s="25" t="s">
        <v>136</v>
      </c>
      <c r="B26" s="25" t="s">
        <v>44</v>
      </c>
      <c r="C26" s="25" t="s">
        <v>44</v>
      </c>
      <c r="D26" s="25" t="s">
        <v>108</v>
      </c>
      <c r="E26" s="25" t="s">
        <v>137</v>
      </c>
      <c r="F26" s="25" t="s">
        <v>131</v>
      </c>
      <c r="G26" s="25">
        <v>8</v>
      </c>
      <c r="H26" s="25" t="s">
        <v>129</v>
      </c>
      <c r="I26" s="25" t="s">
        <v>49</v>
      </c>
      <c r="J26" s="26">
        <v>125</v>
      </c>
      <c r="K26" s="27">
        <f t="shared" si="1"/>
        <v>124</v>
      </c>
      <c r="L26" s="28" t="s">
        <v>138</v>
      </c>
      <c r="M26" s="25" t="s">
        <v>50</v>
      </c>
      <c r="N26" s="25">
        <v>124</v>
      </c>
      <c r="O26" s="25">
        <v>123.2</v>
      </c>
      <c r="P26" s="25">
        <v>2</v>
      </c>
      <c r="Q26" s="25" t="s">
        <v>139</v>
      </c>
      <c r="R26" s="25" t="s">
        <v>52</v>
      </c>
      <c r="S26" s="25" t="s">
        <v>132</v>
      </c>
      <c r="T26" s="25" t="s">
        <v>52</v>
      </c>
      <c r="U26" s="25" t="s">
        <v>108</v>
      </c>
      <c r="V26" s="25" t="s">
        <v>54</v>
      </c>
      <c r="W26" s="25" t="s">
        <v>63</v>
      </c>
      <c r="X26" s="25" t="s">
        <v>56</v>
      </c>
      <c r="Y26" s="25"/>
      <c r="Z26" s="30"/>
      <c r="AA26" s="31">
        <f t="shared" si="0"/>
        <v>0</v>
      </c>
      <c r="AB26" s="25"/>
      <c r="AC26" s="25">
        <v>2</v>
      </c>
      <c r="AD26" s="25"/>
      <c r="AE26" s="32"/>
      <c r="AF26" s="25"/>
      <c r="AG26" s="25"/>
      <c r="AH26" s="26"/>
      <c r="AI26" s="28"/>
      <c r="AJ26" s="33"/>
      <c r="AK26" s="32"/>
    </row>
    <row r="27" spans="1:37" x14ac:dyDescent="0.25">
      <c r="A27" s="25" t="s">
        <v>140</v>
      </c>
      <c r="B27" s="25" t="s">
        <v>44</v>
      </c>
      <c r="C27" s="25" t="s">
        <v>44</v>
      </c>
      <c r="D27" s="25" t="s">
        <v>108</v>
      </c>
      <c r="E27" s="25" t="s">
        <v>141</v>
      </c>
      <c r="F27" s="25" t="s">
        <v>128</v>
      </c>
      <c r="G27" s="25">
        <v>8</v>
      </c>
      <c r="H27" s="25" t="s">
        <v>48</v>
      </c>
      <c r="I27" s="25" t="s">
        <v>49</v>
      </c>
      <c r="J27" s="26">
        <v>82</v>
      </c>
      <c r="K27" s="27">
        <f t="shared" si="1"/>
        <v>82</v>
      </c>
      <c r="L27" s="28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30"/>
      <c r="AA27" s="31">
        <f t="shared" si="0"/>
        <v>0</v>
      </c>
      <c r="AB27" s="25"/>
      <c r="AC27" s="25">
        <v>1</v>
      </c>
      <c r="AD27" s="25"/>
      <c r="AE27" s="32"/>
      <c r="AF27" s="25"/>
      <c r="AG27" s="25"/>
      <c r="AH27" s="26"/>
      <c r="AI27" s="28"/>
      <c r="AJ27" s="33"/>
      <c r="AK27" s="32"/>
    </row>
    <row r="28" spans="1:37" x14ac:dyDescent="0.25">
      <c r="A28" s="25" t="s">
        <v>142</v>
      </c>
      <c r="B28" s="25" t="s">
        <v>44</v>
      </c>
      <c r="C28" s="25" t="s">
        <v>44</v>
      </c>
      <c r="D28" s="25" t="s">
        <v>118</v>
      </c>
      <c r="E28" s="25" t="s">
        <v>128</v>
      </c>
      <c r="F28" s="25" t="s">
        <v>143</v>
      </c>
      <c r="G28" s="25">
        <v>8</v>
      </c>
      <c r="H28" s="25" t="s">
        <v>48</v>
      </c>
      <c r="I28" s="25" t="s">
        <v>49</v>
      </c>
      <c r="J28" s="26">
        <v>177</v>
      </c>
      <c r="K28" s="27">
        <f t="shared" si="1"/>
        <v>177</v>
      </c>
      <c r="L28" s="28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30"/>
      <c r="AA28" s="31">
        <f t="shared" si="0"/>
        <v>0</v>
      </c>
      <c r="AB28" s="25"/>
      <c r="AC28" s="25">
        <v>2</v>
      </c>
      <c r="AD28" s="25"/>
      <c r="AE28" s="32"/>
      <c r="AF28" s="25"/>
      <c r="AG28" s="25"/>
      <c r="AH28" s="26"/>
      <c r="AI28" s="28"/>
      <c r="AJ28" s="33"/>
      <c r="AK28" s="32"/>
    </row>
    <row r="29" spans="1:37" x14ac:dyDescent="0.25">
      <c r="A29" s="25" t="s">
        <v>144</v>
      </c>
      <c r="B29" s="25" t="s">
        <v>68</v>
      </c>
      <c r="C29" s="25" t="s">
        <v>68</v>
      </c>
      <c r="D29" s="25" t="s">
        <v>108</v>
      </c>
      <c r="E29" s="25" t="s">
        <v>143</v>
      </c>
      <c r="F29" s="25" t="s">
        <v>145</v>
      </c>
      <c r="G29" s="25">
        <v>8</v>
      </c>
      <c r="H29" s="25" t="s">
        <v>111</v>
      </c>
      <c r="I29" s="25" t="s">
        <v>49</v>
      </c>
      <c r="J29" s="26">
        <v>26</v>
      </c>
      <c r="K29" s="27">
        <f t="shared" si="1"/>
        <v>26</v>
      </c>
      <c r="L29" s="28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30"/>
      <c r="AA29" s="31">
        <f t="shared" si="0"/>
        <v>0</v>
      </c>
      <c r="AB29" s="25"/>
      <c r="AC29" s="25">
        <v>0</v>
      </c>
      <c r="AD29" s="25"/>
      <c r="AE29" s="32"/>
      <c r="AF29" s="25"/>
      <c r="AG29" s="25"/>
      <c r="AH29" s="26"/>
      <c r="AI29" s="28"/>
      <c r="AJ29" s="33"/>
      <c r="AK29" s="32"/>
    </row>
    <row r="30" spans="1:37" x14ac:dyDescent="0.25">
      <c r="A30" s="25" t="s">
        <v>146</v>
      </c>
      <c r="B30" s="25" t="s">
        <v>68</v>
      </c>
      <c r="C30" s="25" t="s">
        <v>68</v>
      </c>
      <c r="D30" s="25" t="s">
        <v>108</v>
      </c>
      <c r="E30" s="25" t="s">
        <v>147</v>
      </c>
      <c r="F30" s="25" t="s">
        <v>110</v>
      </c>
      <c r="G30" s="25">
        <v>8</v>
      </c>
      <c r="H30" s="25" t="s">
        <v>48</v>
      </c>
      <c r="I30" s="25" t="s">
        <v>49</v>
      </c>
      <c r="J30" s="26">
        <v>139</v>
      </c>
      <c r="K30" s="27">
        <f t="shared" si="1"/>
        <v>139</v>
      </c>
      <c r="L30" s="28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30"/>
      <c r="AA30" s="31">
        <f t="shared" si="0"/>
        <v>0</v>
      </c>
      <c r="AB30" s="25"/>
      <c r="AC30" s="25">
        <v>0</v>
      </c>
      <c r="AD30" s="25"/>
      <c r="AE30" s="32"/>
      <c r="AF30" s="25"/>
      <c r="AG30" s="25"/>
      <c r="AH30" s="26"/>
      <c r="AI30" s="28"/>
      <c r="AJ30" s="33"/>
      <c r="AK30" s="32"/>
    </row>
    <row r="31" spans="1:37" x14ac:dyDescent="0.25">
      <c r="A31" s="25" t="s">
        <v>148</v>
      </c>
      <c r="B31" s="25" t="s">
        <v>44</v>
      </c>
      <c r="C31" s="25" t="s">
        <v>44</v>
      </c>
      <c r="D31" s="25" t="s">
        <v>108</v>
      </c>
      <c r="E31" s="25" t="s">
        <v>149</v>
      </c>
      <c r="F31" s="25" t="s">
        <v>143</v>
      </c>
      <c r="G31" s="25">
        <v>8</v>
      </c>
      <c r="H31" s="25" t="s">
        <v>111</v>
      </c>
      <c r="I31" s="25" t="s">
        <v>49</v>
      </c>
      <c r="J31" s="26">
        <v>83</v>
      </c>
      <c r="K31" s="27">
        <f t="shared" si="1"/>
        <v>83</v>
      </c>
      <c r="L31" s="28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30"/>
      <c r="AA31" s="31">
        <f t="shared" si="0"/>
        <v>0</v>
      </c>
      <c r="AB31" s="25"/>
      <c r="AC31" s="25">
        <v>0</v>
      </c>
      <c r="AD31" s="25"/>
      <c r="AE31" s="32"/>
      <c r="AF31" s="25"/>
      <c r="AG31" s="25"/>
      <c r="AH31" s="26"/>
      <c r="AI31" s="28"/>
      <c r="AJ31" s="33"/>
      <c r="AK31" s="32"/>
    </row>
    <row r="32" spans="1:37" x14ac:dyDescent="0.25">
      <c r="A32" s="25" t="s">
        <v>150</v>
      </c>
      <c r="B32" s="25" t="s">
        <v>68</v>
      </c>
      <c r="C32" s="25" t="s">
        <v>68</v>
      </c>
      <c r="D32" s="25" t="s">
        <v>108</v>
      </c>
      <c r="E32" s="25" t="s">
        <v>151</v>
      </c>
      <c r="F32" s="25" t="s">
        <v>147</v>
      </c>
      <c r="G32" s="25">
        <v>8</v>
      </c>
      <c r="H32" s="25" t="s">
        <v>152</v>
      </c>
      <c r="I32" s="25" t="s">
        <v>49</v>
      </c>
      <c r="J32" s="26">
        <v>45</v>
      </c>
      <c r="K32" s="27">
        <f t="shared" si="1"/>
        <v>45</v>
      </c>
      <c r="L32" s="28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30"/>
      <c r="AA32" s="31">
        <f t="shared" si="0"/>
        <v>0</v>
      </c>
      <c r="AB32" s="25"/>
      <c r="AC32" s="25">
        <v>0</v>
      </c>
      <c r="AD32" s="25"/>
      <c r="AE32" s="32"/>
      <c r="AF32" s="25"/>
      <c r="AG32" s="25"/>
      <c r="AH32" s="26"/>
      <c r="AI32" s="28"/>
      <c r="AJ32" s="33"/>
      <c r="AK32" s="32"/>
    </row>
    <row r="33" spans="1:37" ht="30" x14ac:dyDescent="0.25">
      <c r="A33" s="25" t="s">
        <v>153</v>
      </c>
      <c r="B33" s="25" t="s">
        <v>154</v>
      </c>
      <c r="C33" s="25" t="s">
        <v>155</v>
      </c>
      <c r="D33" s="25" t="s">
        <v>45</v>
      </c>
      <c r="E33" s="25" t="s">
        <v>156</v>
      </c>
      <c r="F33" s="25" t="s">
        <v>157</v>
      </c>
      <c r="G33" s="25">
        <v>8</v>
      </c>
      <c r="H33" s="25" t="s">
        <v>60</v>
      </c>
      <c r="I33" s="25" t="s">
        <v>158</v>
      </c>
      <c r="J33" s="26">
        <v>381</v>
      </c>
      <c r="K33" s="27">
        <f t="shared" si="1"/>
        <v>381</v>
      </c>
      <c r="L33" s="28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30"/>
      <c r="AA33" s="31">
        <f t="shared" si="0"/>
        <v>0</v>
      </c>
      <c r="AB33" s="25"/>
      <c r="AC33" s="25">
        <v>5</v>
      </c>
      <c r="AD33" s="25"/>
      <c r="AE33" s="32"/>
      <c r="AF33" s="25"/>
      <c r="AG33" s="25"/>
      <c r="AH33" s="26"/>
      <c r="AI33" s="28"/>
      <c r="AJ33" s="33"/>
      <c r="AK33" s="32"/>
    </row>
    <row r="34" spans="1:37" ht="30" x14ac:dyDescent="0.25">
      <c r="A34" s="25" t="s">
        <v>159</v>
      </c>
      <c r="B34" s="25" t="s">
        <v>160</v>
      </c>
      <c r="C34" s="25" t="s">
        <v>45</v>
      </c>
      <c r="D34" s="25" t="s">
        <v>58</v>
      </c>
      <c r="E34" s="25" t="s">
        <v>161</v>
      </c>
      <c r="F34" s="25" t="s">
        <v>162</v>
      </c>
      <c r="G34" s="25">
        <v>8</v>
      </c>
      <c r="H34" s="25" t="s">
        <v>60</v>
      </c>
      <c r="I34" s="25" t="s">
        <v>158</v>
      </c>
      <c r="J34" s="26">
        <v>94</v>
      </c>
      <c r="K34" s="27">
        <f t="shared" si="1"/>
        <v>94</v>
      </c>
      <c r="L34" s="28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30"/>
      <c r="AA34" s="31">
        <f t="shared" si="0"/>
        <v>0</v>
      </c>
      <c r="AB34" s="25"/>
      <c r="AC34" s="25">
        <v>2</v>
      </c>
      <c r="AD34" s="25"/>
      <c r="AE34" s="32"/>
      <c r="AF34" s="25"/>
      <c r="AG34" s="25"/>
      <c r="AH34" s="26"/>
      <c r="AI34" s="28"/>
      <c r="AJ34" s="33"/>
      <c r="AK34" s="32"/>
    </row>
    <row r="35" spans="1:37" x14ac:dyDescent="0.25">
      <c r="A35" s="25" t="s">
        <v>163</v>
      </c>
      <c r="B35" s="25" t="s">
        <v>45</v>
      </c>
      <c r="C35" s="25" t="s">
        <v>45</v>
      </c>
      <c r="D35" s="25" t="s">
        <v>58</v>
      </c>
      <c r="E35" s="25" t="s">
        <v>104</v>
      </c>
      <c r="F35" s="25" t="s">
        <v>164</v>
      </c>
      <c r="G35" s="25">
        <v>8</v>
      </c>
      <c r="H35" s="25" t="s">
        <v>60</v>
      </c>
      <c r="I35" s="25" t="s">
        <v>158</v>
      </c>
      <c r="J35" s="26">
        <v>293</v>
      </c>
      <c r="K35" s="27">
        <f t="shared" si="1"/>
        <v>293</v>
      </c>
      <c r="L35" s="28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30"/>
      <c r="AA35" s="31">
        <f t="shared" si="0"/>
        <v>0</v>
      </c>
      <c r="AB35" s="25"/>
      <c r="AC35" s="25">
        <v>4</v>
      </c>
      <c r="AD35" s="25"/>
      <c r="AE35" s="32"/>
      <c r="AF35" s="25"/>
      <c r="AG35" s="25"/>
      <c r="AH35" s="26"/>
      <c r="AI35" s="28"/>
      <c r="AJ35" s="33"/>
      <c r="AK35" s="32"/>
    </row>
    <row r="36" spans="1:37" x14ac:dyDescent="0.25">
      <c r="A36" s="25" t="s">
        <v>165</v>
      </c>
      <c r="B36" s="25" t="s">
        <v>166</v>
      </c>
      <c r="C36" s="25" t="s">
        <v>166</v>
      </c>
      <c r="D36" s="25" t="s">
        <v>45</v>
      </c>
      <c r="E36" s="25" t="s">
        <v>167</v>
      </c>
      <c r="F36" s="25" t="s">
        <v>168</v>
      </c>
      <c r="G36" s="25">
        <v>8</v>
      </c>
      <c r="H36" s="25" t="s">
        <v>60</v>
      </c>
      <c r="I36" s="25" t="s">
        <v>158</v>
      </c>
      <c r="J36" s="26">
        <v>283</v>
      </c>
      <c r="K36" s="27">
        <f t="shared" si="1"/>
        <v>283</v>
      </c>
      <c r="L36" s="28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30"/>
      <c r="AA36" s="31">
        <f t="shared" si="0"/>
        <v>0</v>
      </c>
      <c r="AB36" s="25"/>
      <c r="AC36" s="25">
        <v>2</v>
      </c>
      <c r="AD36" s="25"/>
      <c r="AE36" s="32"/>
      <c r="AF36" s="25"/>
      <c r="AG36" s="25"/>
      <c r="AH36" s="26"/>
      <c r="AI36" s="28"/>
      <c r="AJ36" s="33"/>
      <c r="AK36" s="32"/>
    </row>
    <row r="37" spans="1:37" ht="30" x14ac:dyDescent="0.25">
      <c r="A37" s="25" t="s">
        <v>169</v>
      </c>
      <c r="B37" s="25" t="s">
        <v>170</v>
      </c>
      <c r="C37" s="25" t="s">
        <v>45</v>
      </c>
      <c r="D37" s="25" t="s">
        <v>58</v>
      </c>
      <c r="E37" s="25" t="s">
        <v>171</v>
      </c>
      <c r="F37" s="25" t="s">
        <v>172</v>
      </c>
      <c r="G37" s="25">
        <v>8</v>
      </c>
      <c r="H37" s="25" t="s">
        <v>60</v>
      </c>
      <c r="I37" s="25" t="s">
        <v>158</v>
      </c>
      <c r="J37" s="26">
        <v>226</v>
      </c>
      <c r="K37" s="27">
        <f t="shared" si="1"/>
        <v>226</v>
      </c>
      <c r="L37" s="28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30"/>
      <c r="AA37" s="31">
        <f t="shared" si="0"/>
        <v>0</v>
      </c>
      <c r="AB37" s="25"/>
      <c r="AC37" s="25">
        <v>4</v>
      </c>
      <c r="AD37" s="25"/>
      <c r="AE37" s="32"/>
      <c r="AF37" s="25"/>
      <c r="AG37" s="25"/>
      <c r="AH37" s="26"/>
      <c r="AI37" s="28"/>
      <c r="AJ37" s="33"/>
      <c r="AK37" s="32"/>
    </row>
    <row r="38" spans="1:37" ht="30" x14ac:dyDescent="0.25">
      <c r="A38" s="25" t="s">
        <v>173</v>
      </c>
      <c r="B38" s="25" t="s">
        <v>174</v>
      </c>
      <c r="C38" s="25" t="s">
        <v>45</v>
      </c>
      <c r="D38" s="25" t="s">
        <v>58</v>
      </c>
      <c r="E38" s="25" t="s">
        <v>172</v>
      </c>
      <c r="F38" s="25" t="s">
        <v>175</v>
      </c>
      <c r="G38" s="25">
        <v>8</v>
      </c>
      <c r="H38" s="25" t="s">
        <v>60</v>
      </c>
      <c r="I38" s="25" t="s">
        <v>158</v>
      </c>
      <c r="J38" s="26">
        <v>241</v>
      </c>
      <c r="K38" s="27">
        <f t="shared" si="1"/>
        <v>241</v>
      </c>
      <c r="L38" s="28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30"/>
      <c r="AA38" s="31">
        <f t="shared" si="0"/>
        <v>0</v>
      </c>
      <c r="AB38" s="25"/>
      <c r="AC38" s="25">
        <v>2</v>
      </c>
      <c r="AD38" s="25"/>
      <c r="AE38" s="32"/>
      <c r="AF38" s="25"/>
      <c r="AG38" s="25"/>
      <c r="AH38" s="26"/>
      <c r="AI38" s="28"/>
      <c r="AJ38" s="33"/>
      <c r="AK38" s="32"/>
    </row>
    <row r="39" spans="1:37" ht="30" x14ac:dyDescent="0.25">
      <c r="A39" s="25" t="s">
        <v>176</v>
      </c>
      <c r="B39" s="25" t="s">
        <v>174</v>
      </c>
      <c r="C39" s="25" t="s">
        <v>45</v>
      </c>
      <c r="D39" s="25" t="s">
        <v>58</v>
      </c>
      <c r="E39" s="25" t="s">
        <v>175</v>
      </c>
      <c r="F39" s="25" t="s">
        <v>177</v>
      </c>
      <c r="G39" s="25">
        <v>8</v>
      </c>
      <c r="H39" s="25" t="s">
        <v>60</v>
      </c>
      <c r="I39" s="25" t="s">
        <v>158</v>
      </c>
      <c r="J39" s="26">
        <v>119</v>
      </c>
      <c r="K39" s="27">
        <f t="shared" si="1"/>
        <v>119</v>
      </c>
      <c r="L39" s="28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30"/>
      <c r="AA39" s="31">
        <f t="shared" si="0"/>
        <v>0</v>
      </c>
      <c r="AB39" s="25"/>
      <c r="AC39" s="25">
        <v>4</v>
      </c>
      <c r="AD39" s="25"/>
      <c r="AE39" s="32"/>
      <c r="AF39" s="25"/>
      <c r="AG39" s="25"/>
      <c r="AH39" s="26"/>
      <c r="AI39" s="28"/>
      <c r="AJ39" s="33"/>
      <c r="AK39" s="32"/>
    </row>
    <row r="40" spans="1:37" x14ac:dyDescent="0.25">
      <c r="A40" s="25" t="s">
        <v>178</v>
      </c>
      <c r="B40" s="25" t="s">
        <v>68</v>
      </c>
      <c r="C40" s="25" t="s">
        <v>68</v>
      </c>
      <c r="D40" s="25" t="s">
        <v>108</v>
      </c>
      <c r="E40" s="25" t="s">
        <v>179</v>
      </c>
      <c r="F40" s="25" t="s">
        <v>180</v>
      </c>
      <c r="G40" s="25">
        <v>8</v>
      </c>
      <c r="H40" s="25" t="s">
        <v>129</v>
      </c>
      <c r="I40" s="25" t="s">
        <v>158</v>
      </c>
      <c r="J40" s="26">
        <v>31</v>
      </c>
      <c r="K40" s="27">
        <f t="shared" si="1"/>
        <v>31</v>
      </c>
      <c r="L40" s="28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30"/>
      <c r="AA40" s="31">
        <f t="shared" si="0"/>
        <v>0</v>
      </c>
      <c r="AB40" s="25"/>
      <c r="AC40" s="25">
        <v>0</v>
      </c>
      <c r="AD40" s="25"/>
      <c r="AE40" s="32"/>
      <c r="AF40" s="25"/>
      <c r="AG40" s="25"/>
      <c r="AH40" s="26"/>
      <c r="AI40" s="28"/>
      <c r="AJ40" s="33"/>
      <c r="AK40" s="32"/>
    </row>
    <row r="41" spans="1:37" x14ac:dyDescent="0.25">
      <c r="A41" s="25" t="s">
        <v>181</v>
      </c>
      <c r="B41" s="25" t="s">
        <v>44</v>
      </c>
      <c r="C41" s="25" t="s">
        <v>44</v>
      </c>
      <c r="D41" s="25" t="s">
        <v>118</v>
      </c>
      <c r="E41" s="25" t="s">
        <v>182</v>
      </c>
      <c r="F41" s="25" t="s">
        <v>179</v>
      </c>
      <c r="G41" s="25">
        <v>8</v>
      </c>
      <c r="H41" s="25" t="s">
        <v>183</v>
      </c>
      <c r="I41" s="25" t="s">
        <v>158</v>
      </c>
      <c r="J41" s="26">
        <v>100</v>
      </c>
      <c r="K41" s="27">
        <f t="shared" si="1"/>
        <v>100</v>
      </c>
      <c r="L41" s="28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30"/>
      <c r="AA41" s="31">
        <f t="shared" si="0"/>
        <v>0</v>
      </c>
      <c r="AB41" s="25"/>
      <c r="AC41" s="25">
        <v>0</v>
      </c>
      <c r="AD41" s="25"/>
      <c r="AE41" s="32"/>
      <c r="AF41" s="25"/>
      <c r="AG41" s="25"/>
      <c r="AH41" s="26"/>
      <c r="AI41" s="28"/>
      <c r="AJ41" s="33"/>
      <c r="AK41" s="32"/>
    </row>
    <row r="42" spans="1:37" x14ac:dyDescent="0.25">
      <c r="A42" s="25" t="s">
        <v>184</v>
      </c>
      <c r="B42" s="25" t="s">
        <v>68</v>
      </c>
      <c r="C42" s="25" t="s">
        <v>68</v>
      </c>
      <c r="D42" s="25" t="s">
        <v>108</v>
      </c>
      <c r="E42" s="25" t="s">
        <v>185</v>
      </c>
      <c r="F42" s="25" t="s">
        <v>186</v>
      </c>
      <c r="G42" s="25">
        <v>8</v>
      </c>
      <c r="H42" s="25" t="s">
        <v>111</v>
      </c>
      <c r="I42" s="25" t="s">
        <v>158</v>
      </c>
      <c r="J42" s="26">
        <v>299</v>
      </c>
      <c r="K42" s="27">
        <f t="shared" si="1"/>
        <v>299</v>
      </c>
      <c r="L42" s="28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30"/>
      <c r="AA42" s="31">
        <f t="shared" si="0"/>
        <v>0</v>
      </c>
      <c r="AB42" s="25"/>
      <c r="AC42" s="25">
        <v>3</v>
      </c>
      <c r="AD42" s="25"/>
      <c r="AE42" s="32"/>
      <c r="AF42" s="25"/>
      <c r="AG42" s="25"/>
      <c r="AH42" s="26"/>
      <c r="AI42" s="28"/>
      <c r="AJ42" s="33"/>
      <c r="AK42" s="32"/>
    </row>
    <row r="43" spans="1:37" x14ac:dyDescent="0.25">
      <c r="A43" s="25" t="s">
        <v>187</v>
      </c>
      <c r="B43" s="25" t="s">
        <v>44</v>
      </c>
      <c r="C43" s="25" t="s">
        <v>44</v>
      </c>
      <c r="D43" s="25" t="s">
        <v>108</v>
      </c>
      <c r="E43" s="25" t="s">
        <v>188</v>
      </c>
      <c r="F43" s="25" t="s">
        <v>185</v>
      </c>
      <c r="G43" s="25">
        <v>8</v>
      </c>
      <c r="H43" s="25" t="s">
        <v>111</v>
      </c>
      <c r="I43" s="25" t="s">
        <v>158</v>
      </c>
      <c r="J43" s="26">
        <v>69</v>
      </c>
      <c r="K43" s="27">
        <f t="shared" si="1"/>
        <v>69</v>
      </c>
      <c r="L43" s="28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30"/>
      <c r="AA43" s="31">
        <f t="shared" si="0"/>
        <v>0</v>
      </c>
      <c r="AB43" s="25"/>
      <c r="AC43" s="25">
        <v>2</v>
      </c>
      <c r="AD43" s="25"/>
      <c r="AE43" s="32"/>
      <c r="AF43" s="25"/>
      <c r="AG43" s="25"/>
      <c r="AH43" s="26"/>
      <c r="AI43" s="28"/>
      <c r="AJ43" s="33"/>
      <c r="AK43" s="32"/>
    </row>
    <row r="44" spans="1:37" ht="30" x14ac:dyDescent="0.25">
      <c r="A44" s="25" t="s">
        <v>189</v>
      </c>
      <c r="B44" s="25" t="s">
        <v>190</v>
      </c>
      <c r="C44" s="25" t="s">
        <v>190</v>
      </c>
      <c r="D44" s="25" t="s">
        <v>108</v>
      </c>
      <c r="E44" s="25" t="s">
        <v>191</v>
      </c>
      <c r="F44" s="25" t="s">
        <v>192</v>
      </c>
      <c r="G44" s="25">
        <v>8</v>
      </c>
      <c r="H44" s="25" t="s">
        <v>129</v>
      </c>
      <c r="I44" s="25" t="s">
        <v>105</v>
      </c>
      <c r="J44" s="26">
        <v>269</v>
      </c>
      <c r="K44" s="27">
        <f t="shared" si="1"/>
        <v>288</v>
      </c>
      <c r="L44" s="28">
        <v>46118</v>
      </c>
      <c r="M44" s="25" t="s">
        <v>50</v>
      </c>
      <c r="N44" s="25">
        <v>288</v>
      </c>
      <c r="O44" s="25">
        <v>287.39999999999998</v>
      </c>
      <c r="P44" s="25">
        <v>3</v>
      </c>
      <c r="Q44" s="25" t="s">
        <v>193</v>
      </c>
      <c r="R44" s="25" t="s">
        <v>52</v>
      </c>
      <c r="S44" s="25" t="s">
        <v>194</v>
      </c>
      <c r="T44" s="25" t="s">
        <v>52</v>
      </c>
      <c r="U44" s="25" t="s">
        <v>108</v>
      </c>
      <c r="V44" s="25" t="s">
        <v>54</v>
      </c>
      <c r="W44" s="25" t="s">
        <v>63</v>
      </c>
      <c r="X44" s="25" t="s">
        <v>56</v>
      </c>
      <c r="Y44" s="25"/>
      <c r="Z44" s="30"/>
      <c r="AA44" s="31">
        <f t="shared" si="0"/>
        <v>0</v>
      </c>
      <c r="AB44" s="25"/>
      <c r="AC44" s="25">
        <v>3</v>
      </c>
      <c r="AD44" s="25"/>
      <c r="AE44" s="32"/>
      <c r="AF44" s="25"/>
      <c r="AG44" s="25"/>
      <c r="AH44" s="26"/>
      <c r="AI44" s="28"/>
      <c r="AJ44" s="33"/>
      <c r="AK44" s="32"/>
    </row>
    <row r="45" spans="1:37" x14ac:dyDescent="0.25">
      <c r="A45" s="25" t="s">
        <v>195</v>
      </c>
      <c r="B45" s="25" t="s">
        <v>196</v>
      </c>
      <c r="C45" s="25" t="s">
        <v>196</v>
      </c>
      <c r="D45" s="25" t="s">
        <v>108</v>
      </c>
      <c r="E45" s="25" t="s">
        <v>197</v>
      </c>
      <c r="F45" s="36" t="s">
        <v>198</v>
      </c>
      <c r="G45" s="25">
        <v>8</v>
      </c>
      <c r="H45" s="25" t="s">
        <v>199</v>
      </c>
      <c r="I45" s="25" t="s">
        <v>158</v>
      </c>
      <c r="J45" s="26">
        <v>269</v>
      </c>
      <c r="K45" s="27">
        <f t="shared" si="1"/>
        <v>269</v>
      </c>
      <c r="L45" s="28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30"/>
      <c r="AA45" s="31">
        <f t="shared" si="0"/>
        <v>0</v>
      </c>
      <c r="AB45" s="25"/>
      <c r="AC45" s="25">
        <v>4</v>
      </c>
      <c r="AD45" s="25"/>
      <c r="AE45" s="32"/>
      <c r="AF45" s="25"/>
      <c r="AG45" s="25"/>
      <c r="AH45" s="26"/>
      <c r="AI45" s="28"/>
      <c r="AJ45" s="33"/>
      <c r="AK45" s="32"/>
    </row>
    <row r="46" spans="1:37" x14ac:dyDescent="0.25">
      <c r="A46" s="25" t="s">
        <v>200</v>
      </c>
      <c r="B46" s="25" t="s">
        <v>44</v>
      </c>
      <c r="C46" s="25" t="s">
        <v>44</v>
      </c>
      <c r="D46" s="25" t="s">
        <v>108</v>
      </c>
      <c r="E46" s="25" t="s">
        <v>201</v>
      </c>
      <c r="F46" s="25" t="s">
        <v>197</v>
      </c>
      <c r="G46" s="25">
        <v>8</v>
      </c>
      <c r="H46" s="25" t="s">
        <v>199</v>
      </c>
      <c r="I46" s="25" t="s">
        <v>158</v>
      </c>
      <c r="J46" s="26">
        <v>157</v>
      </c>
      <c r="K46" s="27">
        <f t="shared" si="1"/>
        <v>157</v>
      </c>
      <c r="L46" s="28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30"/>
      <c r="AA46" s="31">
        <f t="shared" si="0"/>
        <v>0</v>
      </c>
      <c r="AB46" s="25"/>
      <c r="AC46" s="25">
        <v>3</v>
      </c>
      <c r="AD46" s="25"/>
      <c r="AE46" s="32"/>
      <c r="AF46" s="25"/>
      <c r="AG46" s="25"/>
      <c r="AH46" s="26"/>
      <c r="AI46" s="28"/>
      <c r="AJ46" s="33"/>
      <c r="AK46" s="32"/>
    </row>
    <row r="47" spans="1:37" x14ac:dyDescent="0.25">
      <c r="A47" s="25" t="s">
        <v>202</v>
      </c>
      <c r="B47" s="25" t="s">
        <v>203</v>
      </c>
      <c r="C47" s="25" t="s">
        <v>203</v>
      </c>
      <c r="D47" s="25" t="s">
        <v>108</v>
      </c>
      <c r="E47" s="25" t="s">
        <v>204</v>
      </c>
      <c r="F47" s="25" t="s">
        <v>201</v>
      </c>
      <c r="G47" s="25">
        <v>8</v>
      </c>
      <c r="H47" s="25" t="s">
        <v>199</v>
      </c>
      <c r="I47" s="25" t="s">
        <v>158</v>
      </c>
      <c r="J47" s="26">
        <v>125</v>
      </c>
      <c r="K47" s="27">
        <f t="shared" si="1"/>
        <v>125</v>
      </c>
      <c r="L47" s="28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30"/>
      <c r="AA47" s="31">
        <f t="shared" si="0"/>
        <v>0</v>
      </c>
      <c r="AB47" s="25"/>
      <c r="AC47" s="25">
        <v>2</v>
      </c>
      <c r="AD47" s="25"/>
      <c r="AE47" s="32"/>
      <c r="AF47" s="25"/>
      <c r="AG47" s="25"/>
      <c r="AH47" s="26"/>
      <c r="AI47" s="28"/>
      <c r="AJ47" s="33"/>
      <c r="AK47" s="32"/>
    </row>
    <row r="48" spans="1:37" ht="30" x14ac:dyDescent="0.25">
      <c r="A48" s="25" t="s">
        <v>205</v>
      </c>
      <c r="B48" s="25" t="s">
        <v>206</v>
      </c>
      <c r="C48" s="25" t="s">
        <v>206</v>
      </c>
      <c r="D48" s="25" t="s">
        <v>108</v>
      </c>
      <c r="E48" s="25" t="s">
        <v>207</v>
      </c>
      <c r="F48" s="25" t="s">
        <v>204</v>
      </c>
      <c r="G48" s="25">
        <v>8</v>
      </c>
      <c r="H48" s="25" t="s">
        <v>199</v>
      </c>
      <c r="I48" s="25" t="s">
        <v>158</v>
      </c>
      <c r="J48" s="26">
        <v>91</v>
      </c>
      <c r="K48" s="27">
        <f t="shared" si="1"/>
        <v>91</v>
      </c>
      <c r="L48" s="28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30"/>
      <c r="AA48" s="31">
        <f t="shared" si="0"/>
        <v>0</v>
      </c>
      <c r="AB48" s="25"/>
      <c r="AC48" s="25">
        <v>2</v>
      </c>
      <c r="AD48" s="25"/>
      <c r="AE48" s="32"/>
      <c r="AF48" s="25"/>
      <c r="AG48" s="25"/>
      <c r="AH48" s="26"/>
      <c r="AI48" s="28"/>
      <c r="AJ48" s="33"/>
      <c r="AK48" s="32"/>
    </row>
    <row r="49" spans="1:37" ht="45" x14ac:dyDescent="0.25">
      <c r="A49" s="25" t="s">
        <v>208</v>
      </c>
      <c r="B49" s="25" t="s">
        <v>209</v>
      </c>
      <c r="C49" s="25" t="s">
        <v>209</v>
      </c>
      <c r="D49" s="25" t="s">
        <v>108</v>
      </c>
      <c r="E49" s="25" t="s">
        <v>210</v>
      </c>
      <c r="F49" s="25" t="s">
        <v>211</v>
      </c>
      <c r="G49" s="25">
        <v>8</v>
      </c>
      <c r="H49" s="25" t="s">
        <v>199</v>
      </c>
      <c r="I49" s="25" t="s">
        <v>158</v>
      </c>
      <c r="J49" s="26">
        <v>183</v>
      </c>
      <c r="K49" s="27">
        <f t="shared" si="1"/>
        <v>183</v>
      </c>
      <c r="L49" s="28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30"/>
      <c r="AA49" s="31">
        <f t="shared" si="0"/>
        <v>0</v>
      </c>
      <c r="AB49" s="25"/>
      <c r="AC49" s="25">
        <v>3</v>
      </c>
      <c r="AD49" s="25"/>
      <c r="AE49" s="32"/>
      <c r="AF49" s="25"/>
      <c r="AG49" s="25"/>
      <c r="AH49" s="26"/>
      <c r="AI49" s="28"/>
      <c r="AJ49" s="33"/>
      <c r="AK49" s="32"/>
    </row>
    <row r="50" spans="1:37" ht="30" x14ac:dyDescent="0.25">
      <c r="A50" s="25" t="s">
        <v>212</v>
      </c>
      <c r="B50" s="25" t="s">
        <v>213</v>
      </c>
      <c r="C50" s="25" t="s">
        <v>213</v>
      </c>
      <c r="D50" s="25" t="s">
        <v>108</v>
      </c>
      <c r="E50" s="25" t="s">
        <v>214</v>
      </c>
      <c r="F50" s="25" t="s">
        <v>210</v>
      </c>
      <c r="G50" s="25">
        <v>8</v>
      </c>
      <c r="H50" s="25" t="s">
        <v>199</v>
      </c>
      <c r="I50" s="25" t="s">
        <v>158</v>
      </c>
      <c r="J50" s="26">
        <v>255</v>
      </c>
      <c r="K50" s="27">
        <f t="shared" si="1"/>
        <v>255</v>
      </c>
      <c r="L50" s="28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30"/>
      <c r="AA50" s="31">
        <f t="shared" si="0"/>
        <v>0</v>
      </c>
      <c r="AB50" s="25"/>
      <c r="AC50" s="25">
        <v>2</v>
      </c>
      <c r="AD50" s="25"/>
      <c r="AE50" s="32"/>
      <c r="AF50" s="25"/>
      <c r="AG50" s="25"/>
      <c r="AH50" s="26"/>
      <c r="AI50" s="28"/>
      <c r="AJ50" s="33"/>
      <c r="AK50" s="32"/>
    </row>
    <row r="51" spans="1:37" x14ac:dyDescent="0.25">
      <c r="A51" s="25" t="s">
        <v>215</v>
      </c>
      <c r="B51" s="25" t="s">
        <v>44</v>
      </c>
      <c r="C51" s="25" t="s">
        <v>44</v>
      </c>
      <c r="D51" s="25" t="s">
        <v>108</v>
      </c>
      <c r="E51" s="25" t="s">
        <v>216</v>
      </c>
      <c r="F51" s="25" t="s">
        <v>214</v>
      </c>
      <c r="G51" s="25">
        <v>8</v>
      </c>
      <c r="H51" s="25" t="s">
        <v>199</v>
      </c>
      <c r="I51" s="25" t="s">
        <v>158</v>
      </c>
      <c r="J51" s="26">
        <v>292</v>
      </c>
      <c r="K51" s="27">
        <f t="shared" si="1"/>
        <v>292</v>
      </c>
      <c r="L51" s="28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30"/>
      <c r="AA51" s="31">
        <f t="shared" si="0"/>
        <v>0</v>
      </c>
      <c r="AB51" s="25"/>
      <c r="AC51" s="25">
        <v>3</v>
      </c>
      <c r="AD51" s="25"/>
      <c r="AE51" s="32"/>
      <c r="AF51" s="25"/>
      <c r="AG51" s="25"/>
      <c r="AH51" s="26"/>
      <c r="AI51" s="28"/>
      <c r="AJ51" s="33"/>
      <c r="AK51" s="32"/>
    </row>
    <row r="52" spans="1:37" x14ac:dyDescent="0.25">
      <c r="A52" s="25" t="s">
        <v>217</v>
      </c>
      <c r="B52" s="25" t="s">
        <v>166</v>
      </c>
      <c r="C52" s="25" t="s">
        <v>166</v>
      </c>
      <c r="D52" s="25" t="s">
        <v>108</v>
      </c>
      <c r="E52" s="25" t="s">
        <v>218</v>
      </c>
      <c r="F52" s="25" t="s">
        <v>216</v>
      </c>
      <c r="G52" s="25">
        <v>8</v>
      </c>
      <c r="H52" s="25" t="s">
        <v>183</v>
      </c>
      <c r="I52" s="25" t="s">
        <v>158</v>
      </c>
      <c r="J52" s="26">
        <v>80</v>
      </c>
      <c r="K52" s="27">
        <f t="shared" si="1"/>
        <v>80</v>
      </c>
      <c r="L52" s="28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30"/>
      <c r="AA52" s="31">
        <f t="shared" si="0"/>
        <v>0</v>
      </c>
      <c r="AB52" s="25"/>
      <c r="AC52" s="25">
        <v>3</v>
      </c>
      <c r="AD52" s="25"/>
      <c r="AE52" s="32"/>
      <c r="AF52" s="25"/>
      <c r="AG52" s="25"/>
      <c r="AH52" s="26"/>
      <c r="AI52" s="28"/>
      <c r="AJ52" s="33"/>
      <c r="AK52" s="32"/>
    </row>
    <row r="53" spans="1:37" x14ac:dyDescent="0.25">
      <c r="A53" s="25" t="s">
        <v>219</v>
      </c>
      <c r="B53" s="25" t="s">
        <v>220</v>
      </c>
      <c r="C53" s="25" t="s">
        <v>221</v>
      </c>
      <c r="D53" s="25" t="s">
        <v>108</v>
      </c>
      <c r="E53" s="25" t="s">
        <v>222</v>
      </c>
      <c r="F53" s="25" t="s">
        <v>180</v>
      </c>
      <c r="G53" s="25">
        <v>8</v>
      </c>
      <c r="H53" s="25" t="s">
        <v>183</v>
      </c>
      <c r="I53" s="25" t="s">
        <v>223</v>
      </c>
      <c r="J53" s="26">
        <v>227</v>
      </c>
      <c r="K53" s="27">
        <f t="shared" si="1"/>
        <v>227</v>
      </c>
      <c r="L53" s="28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30"/>
      <c r="AA53" s="31">
        <f t="shared" si="0"/>
        <v>0</v>
      </c>
      <c r="AB53" s="25"/>
      <c r="AC53" s="25">
        <v>1</v>
      </c>
      <c r="AD53" s="25"/>
      <c r="AE53" s="32"/>
      <c r="AF53" s="25"/>
      <c r="AG53" s="25"/>
      <c r="AH53" s="26"/>
      <c r="AI53" s="28"/>
      <c r="AJ53" s="33"/>
      <c r="AK53" s="32"/>
    </row>
    <row r="54" spans="1:37" x14ac:dyDescent="0.25">
      <c r="A54" s="25" t="s">
        <v>224</v>
      </c>
      <c r="B54" s="25" t="s">
        <v>44</v>
      </c>
      <c r="C54" s="25" t="s">
        <v>44</v>
      </c>
      <c r="D54" s="25" t="s">
        <v>108</v>
      </c>
      <c r="E54" s="25" t="s">
        <v>225</v>
      </c>
      <c r="F54" s="25" t="s">
        <v>226</v>
      </c>
      <c r="G54" s="25">
        <v>8</v>
      </c>
      <c r="H54" s="25" t="s">
        <v>183</v>
      </c>
      <c r="I54" s="25" t="s">
        <v>158</v>
      </c>
      <c r="J54" s="26">
        <v>145</v>
      </c>
      <c r="K54" s="27">
        <f t="shared" si="1"/>
        <v>145</v>
      </c>
      <c r="L54" s="28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30"/>
      <c r="AA54" s="31">
        <f t="shared" si="0"/>
        <v>0</v>
      </c>
      <c r="AB54" s="25"/>
      <c r="AC54" s="25">
        <v>2</v>
      </c>
      <c r="AD54" s="25"/>
      <c r="AE54" s="32"/>
      <c r="AF54" s="25"/>
      <c r="AG54" s="25"/>
      <c r="AH54" s="26"/>
      <c r="AI54" s="28"/>
      <c r="AJ54" s="33"/>
      <c r="AK54" s="32"/>
    </row>
    <row r="55" spans="1:37" ht="30" x14ac:dyDescent="0.25">
      <c r="A55" s="25" t="s">
        <v>227</v>
      </c>
      <c r="B55" s="25" t="s">
        <v>228</v>
      </c>
      <c r="C55" s="25" t="s">
        <v>229</v>
      </c>
      <c r="D55" s="25" t="s">
        <v>108</v>
      </c>
      <c r="E55" s="25" t="s">
        <v>230</v>
      </c>
      <c r="F55" s="25" t="s">
        <v>225</v>
      </c>
      <c r="G55" s="25">
        <v>8</v>
      </c>
      <c r="H55" s="25" t="s">
        <v>231</v>
      </c>
      <c r="I55" s="25" t="s">
        <v>158</v>
      </c>
      <c r="J55" s="26">
        <v>270</v>
      </c>
      <c r="K55" s="27">
        <f t="shared" si="1"/>
        <v>270</v>
      </c>
      <c r="L55" s="28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30"/>
      <c r="AA55" s="31">
        <f t="shared" si="0"/>
        <v>0</v>
      </c>
      <c r="AB55" s="25"/>
      <c r="AC55" s="25">
        <v>3</v>
      </c>
      <c r="AD55" s="25"/>
      <c r="AE55" s="32"/>
      <c r="AF55" s="25"/>
      <c r="AG55" s="25"/>
      <c r="AH55" s="26"/>
      <c r="AI55" s="28"/>
      <c r="AJ55" s="33"/>
      <c r="AK55" s="32"/>
    </row>
    <row r="56" spans="1:37" ht="30" x14ac:dyDescent="0.25">
      <c r="A56" s="25" t="s">
        <v>232</v>
      </c>
      <c r="B56" s="25" t="s">
        <v>233</v>
      </c>
      <c r="C56" s="25" t="s">
        <v>233</v>
      </c>
      <c r="D56" s="25" t="s">
        <v>108</v>
      </c>
      <c r="E56" s="25" t="s">
        <v>234</v>
      </c>
      <c r="F56" s="25" t="s">
        <v>235</v>
      </c>
      <c r="G56" s="25">
        <v>8</v>
      </c>
      <c r="H56" s="25" t="s">
        <v>111</v>
      </c>
      <c r="I56" s="25" t="s">
        <v>158</v>
      </c>
      <c r="J56" s="26">
        <v>128</v>
      </c>
      <c r="K56" s="27">
        <f t="shared" si="1"/>
        <v>128</v>
      </c>
      <c r="L56" s="28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30"/>
      <c r="AA56" s="31">
        <f t="shared" si="0"/>
        <v>0</v>
      </c>
      <c r="AB56" s="25"/>
      <c r="AC56" s="25">
        <v>2</v>
      </c>
      <c r="AD56" s="25"/>
      <c r="AE56" s="32"/>
      <c r="AF56" s="25"/>
      <c r="AG56" s="25"/>
      <c r="AH56" s="26"/>
      <c r="AI56" s="28"/>
      <c r="AJ56" s="33"/>
      <c r="AK56" s="32"/>
    </row>
    <row r="57" spans="1:37" x14ac:dyDescent="0.25">
      <c r="A57" s="25" t="s">
        <v>236</v>
      </c>
      <c r="B57" s="25" t="s">
        <v>68</v>
      </c>
      <c r="C57" s="25" t="s">
        <v>68</v>
      </c>
      <c r="D57" s="25" t="s">
        <v>118</v>
      </c>
      <c r="E57" s="25" t="s">
        <v>237</v>
      </c>
      <c r="F57" s="25" t="s">
        <v>238</v>
      </c>
      <c r="G57" s="25">
        <v>8</v>
      </c>
      <c r="H57" s="25" t="s">
        <v>231</v>
      </c>
      <c r="I57" s="25" t="s">
        <v>158</v>
      </c>
      <c r="J57" s="26">
        <v>215</v>
      </c>
      <c r="K57" s="27">
        <f t="shared" si="1"/>
        <v>215</v>
      </c>
      <c r="L57" s="28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30"/>
      <c r="AA57" s="31">
        <f t="shared" si="0"/>
        <v>0</v>
      </c>
      <c r="AB57" s="25"/>
      <c r="AC57" s="25">
        <v>0</v>
      </c>
      <c r="AD57" s="25"/>
      <c r="AE57" s="32"/>
      <c r="AF57" s="25"/>
      <c r="AG57" s="25"/>
      <c r="AH57" s="26"/>
      <c r="AI57" s="28"/>
      <c r="AJ57" s="33"/>
      <c r="AK57" s="32"/>
    </row>
    <row r="58" spans="1:37" x14ac:dyDescent="0.25">
      <c r="A58" s="25" t="s">
        <v>239</v>
      </c>
      <c r="B58" s="25" t="s">
        <v>44</v>
      </c>
      <c r="C58" s="25" t="s">
        <v>44</v>
      </c>
      <c r="D58" s="25" t="s">
        <v>108</v>
      </c>
      <c r="E58" s="25" t="s">
        <v>240</v>
      </c>
      <c r="F58" s="25" t="s">
        <v>241</v>
      </c>
      <c r="G58" s="25">
        <v>8</v>
      </c>
      <c r="H58" s="25" t="s">
        <v>242</v>
      </c>
      <c r="I58" s="25" t="s">
        <v>158</v>
      </c>
      <c r="J58" s="26">
        <v>173</v>
      </c>
      <c r="K58" s="27">
        <f t="shared" si="1"/>
        <v>173</v>
      </c>
      <c r="L58" s="28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30"/>
      <c r="AA58" s="31">
        <f t="shared" si="0"/>
        <v>0</v>
      </c>
      <c r="AB58" s="25"/>
      <c r="AC58" s="25">
        <v>1</v>
      </c>
      <c r="AD58" s="25"/>
      <c r="AE58" s="32"/>
      <c r="AF58" s="25"/>
      <c r="AG58" s="25"/>
      <c r="AH58" s="26"/>
      <c r="AI58" s="28"/>
      <c r="AJ58" s="33"/>
      <c r="AK58" s="32"/>
    </row>
    <row r="59" spans="1:37" ht="30" x14ac:dyDescent="0.25">
      <c r="A59" s="25" t="s">
        <v>243</v>
      </c>
      <c r="B59" s="25" t="s">
        <v>244</v>
      </c>
      <c r="C59" s="25" t="s">
        <v>45</v>
      </c>
      <c r="D59" s="25" t="s">
        <v>58</v>
      </c>
      <c r="E59" s="25" t="s">
        <v>162</v>
      </c>
      <c r="F59" s="25" t="s">
        <v>245</v>
      </c>
      <c r="G59" s="25">
        <v>8</v>
      </c>
      <c r="H59" s="25" t="s">
        <v>60</v>
      </c>
      <c r="I59" s="25" t="s">
        <v>158</v>
      </c>
      <c r="J59" s="26">
        <v>325</v>
      </c>
      <c r="K59" s="27">
        <f t="shared" si="1"/>
        <v>325</v>
      </c>
      <c r="L59" s="28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30"/>
      <c r="AA59" s="31">
        <f t="shared" si="0"/>
        <v>0</v>
      </c>
      <c r="AB59" s="25"/>
      <c r="AC59" s="25">
        <v>4</v>
      </c>
      <c r="AD59" s="25"/>
      <c r="AE59" s="32"/>
      <c r="AF59" s="25"/>
      <c r="AG59" s="25"/>
      <c r="AH59" s="26"/>
      <c r="AI59" s="28"/>
      <c r="AJ59" s="33"/>
      <c r="AK59" s="32"/>
    </row>
    <row r="60" spans="1:37" x14ac:dyDescent="0.25">
      <c r="A60" s="25" t="s">
        <v>246</v>
      </c>
      <c r="B60" s="25" t="s">
        <v>68</v>
      </c>
      <c r="C60" s="25" t="s">
        <v>68</v>
      </c>
      <c r="D60" s="25" t="s">
        <v>108</v>
      </c>
      <c r="E60" s="25" t="s">
        <v>241</v>
      </c>
      <c r="F60" s="25" t="s">
        <v>162</v>
      </c>
      <c r="G60" s="25">
        <v>8</v>
      </c>
      <c r="H60" s="25" t="s">
        <v>242</v>
      </c>
      <c r="I60" s="25" t="s">
        <v>158</v>
      </c>
      <c r="J60" s="26">
        <v>124</v>
      </c>
      <c r="K60" s="27">
        <f t="shared" si="1"/>
        <v>124</v>
      </c>
      <c r="L60" s="28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30"/>
      <c r="AA60" s="31">
        <f t="shared" si="0"/>
        <v>0</v>
      </c>
      <c r="AB60" s="25"/>
      <c r="AC60" s="25">
        <v>0</v>
      </c>
      <c r="AD60" s="25"/>
      <c r="AE60" s="32"/>
      <c r="AF60" s="25"/>
      <c r="AG60" s="25"/>
      <c r="AH60" s="26"/>
      <c r="AI60" s="28"/>
      <c r="AJ60" s="33"/>
      <c r="AK60" s="32"/>
    </row>
    <row r="61" spans="1:37" x14ac:dyDescent="0.25">
      <c r="A61" s="25" t="s">
        <v>247</v>
      </c>
      <c r="B61" s="25" t="s">
        <v>44</v>
      </c>
      <c r="C61" s="25" t="s">
        <v>44</v>
      </c>
      <c r="D61" s="25" t="s">
        <v>118</v>
      </c>
      <c r="E61" s="25" t="s">
        <v>248</v>
      </c>
      <c r="F61" s="25" t="s">
        <v>249</v>
      </c>
      <c r="G61" s="25">
        <v>8</v>
      </c>
      <c r="H61" s="25" t="s">
        <v>242</v>
      </c>
      <c r="I61" s="25" t="s">
        <v>158</v>
      </c>
      <c r="J61" s="26">
        <v>212</v>
      </c>
      <c r="K61" s="27">
        <f t="shared" si="1"/>
        <v>212</v>
      </c>
      <c r="L61" s="28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30"/>
      <c r="AA61" s="31">
        <f t="shared" si="0"/>
        <v>0</v>
      </c>
      <c r="AB61" s="25"/>
      <c r="AC61" s="25">
        <v>3</v>
      </c>
      <c r="AD61" s="25"/>
      <c r="AE61" s="32"/>
      <c r="AF61" s="25"/>
      <c r="AG61" s="25"/>
      <c r="AH61" s="26"/>
      <c r="AI61" s="28"/>
      <c r="AJ61" s="33"/>
      <c r="AK61" s="32"/>
    </row>
    <row r="62" spans="1:37" x14ac:dyDescent="0.25">
      <c r="A62" s="25" t="s">
        <v>250</v>
      </c>
      <c r="B62" s="25" t="s">
        <v>68</v>
      </c>
      <c r="C62" s="25" t="s">
        <v>68</v>
      </c>
      <c r="D62" s="25" t="s">
        <v>108</v>
      </c>
      <c r="E62" s="25" t="s">
        <v>249</v>
      </c>
      <c r="F62" s="25" t="s">
        <v>240</v>
      </c>
      <c r="G62" s="25">
        <v>8</v>
      </c>
      <c r="H62" s="25" t="s">
        <v>242</v>
      </c>
      <c r="I62" s="25" t="s">
        <v>158</v>
      </c>
      <c r="J62" s="26">
        <v>204</v>
      </c>
      <c r="K62" s="27">
        <f t="shared" si="1"/>
        <v>204</v>
      </c>
      <c r="L62" s="28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30"/>
      <c r="AA62" s="31">
        <f t="shared" si="0"/>
        <v>0</v>
      </c>
      <c r="AB62" s="25"/>
      <c r="AC62" s="25">
        <v>3</v>
      </c>
      <c r="AD62" s="25"/>
      <c r="AE62" s="32"/>
      <c r="AF62" s="25"/>
      <c r="AG62" s="25"/>
      <c r="AH62" s="26"/>
      <c r="AI62" s="28"/>
      <c r="AJ62" s="33"/>
      <c r="AK62" s="32"/>
    </row>
    <row r="63" spans="1:37" x14ac:dyDescent="0.25">
      <c r="A63" s="25" t="s">
        <v>251</v>
      </c>
      <c r="B63" s="25" t="s">
        <v>45</v>
      </c>
      <c r="C63" s="25" t="s">
        <v>45</v>
      </c>
      <c r="D63" s="25" t="s">
        <v>252</v>
      </c>
      <c r="E63" s="25" t="s">
        <v>253</v>
      </c>
      <c r="F63" s="25" t="s">
        <v>254</v>
      </c>
      <c r="G63" s="25">
        <v>8</v>
      </c>
      <c r="H63" s="25" t="s">
        <v>60</v>
      </c>
      <c r="I63" s="25" t="s">
        <v>255</v>
      </c>
      <c r="J63" s="26">
        <v>108</v>
      </c>
      <c r="K63" s="27">
        <f t="shared" si="1"/>
        <v>108</v>
      </c>
      <c r="L63" s="28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30"/>
      <c r="AA63" s="31">
        <f t="shared" si="0"/>
        <v>0</v>
      </c>
      <c r="AB63" s="25"/>
      <c r="AC63" s="25">
        <v>4</v>
      </c>
      <c r="AD63" s="25"/>
      <c r="AE63" s="32"/>
      <c r="AF63" s="25"/>
      <c r="AG63" s="25"/>
      <c r="AH63" s="26"/>
      <c r="AI63" s="28"/>
      <c r="AJ63" s="33"/>
      <c r="AK63" s="32"/>
    </row>
    <row r="64" spans="1:37" x14ac:dyDescent="0.25">
      <c r="A64" s="25" t="s">
        <v>256</v>
      </c>
      <c r="B64" s="25" t="s">
        <v>68</v>
      </c>
      <c r="C64" s="25" t="s">
        <v>68</v>
      </c>
      <c r="D64" s="25" t="s">
        <v>108</v>
      </c>
      <c r="E64" s="25" t="s">
        <v>257</v>
      </c>
      <c r="F64" s="25" t="s">
        <v>258</v>
      </c>
      <c r="G64" s="25">
        <v>8</v>
      </c>
      <c r="H64" s="25" t="s">
        <v>259</v>
      </c>
      <c r="I64" s="25" t="s">
        <v>260</v>
      </c>
      <c r="J64" s="26">
        <v>138</v>
      </c>
      <c r="K64" s="27">
        <f t="shared" si="1"/>
        <v>138</v>
      </c>
      <c r="L64" s="28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30"/>
      <c r="AA64" s="31">
        <f t="shared" si="0"/>
        <v>0</v>
      </c>
      <c r="AB64" s="25"/>
      <c r="AC64" s="25"/>
      <c r="AD64" s="25"/>
      <c r="AE64" s="32"/>
      <c r="AF64" s="25"/>
      <c r="AG64" s="25"/>
      <c r="AH64" s="26"/>
      <c r="AI64" s="28"/>
      <c r="AJ64" s="33"/>
      <c r="AK64" s="32"/>
    </row>
    <row r="65" spans="1:37" x14ac:dyDescent="0.25">
      <c r="A65" s="25" t="s">
        <v>261</v>
      </c>
      <c r="B65" s="25" t="s">
        <v>68</v>
      </c>
      <c r="C65" s="25" t="s">
        <v>68</v>
      </c>
      <c r="D65" s="25" t="s">
        <v>108</v>
      </c>
      <c r="E65" s="25" t="s">
        <v>262</v>
      </c>
      <c r="F65" s="25" t="s">
        <v>263</v>
      </c>
      <c r="G65" s="25">
        <v>8</v>
      </c>
      <c r="H65" s="25" t="s">
        <v>259</v>
      </c>
      <c r="I65" s="25" t="s">
        <v>260</v>
      </c>
      <c r="J65" s="26">
        <v>142</v>
      </c>
      <c r="K65" s="27">
        <f t="shared" si="1"/>
        <v>142</v>
      </c>
      <c r="L65" s="28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30"/>
      <c r="AA65" s="31">
        <f t="shared" si="0"/>
        <v>0</v>
      </c>
      <c r="AB65" s="25"/>
      <c r="AC65" s="25"/>
      <c r="AD65" s="25"/>
      <c r="AE65" s="32"/>
      <c r="AF65" s="25"/>
      <c r="AG65" s="25"/>
      <c r="AH65" s="26"/>
      <c r="AI65" s="28"/>
      <c r="AJ65" s="33"/>
      <c r="AK65" s="32"/>
    </row>
    <row r="66" spans="1:37" ht="30" x14ac:dyDescent="0.25">
      <c r="A66" s="25" t="s">
        <v>264</v>
      </c>
      <c r="B66" s="25" t="s">
        <v>68</v>
      </c>
      <c r="C66" s="25" t="s">
        <v>68</v>
      </c>
      <c r="D66" s="25" t="s">
        <v>118</v>
      </c>
      <c r="E66" s="25" t="s">
        <v>265</v>
      </c>
      <c r="F66" s="25" t="s">
        <v>182</v>
      </c>
      <c r="G66" s="25">
        <v>8</v>
      </c>
      <c r="H66" s="25" t="s">
        <v>259</v>
      </c>
      <c r="I66" s="25" t="s">
        <v>266</v>
      </c>
      <c r="J66" s="26">
        <v>153</v>
      </c>
      <c r="K66" s="27">
        <f t="shared" si="1"/>
        <v>153</v>
      </c>
      <c r="L66" s="28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30"/>
      <c r="AA66" s="31">
        <f t="shared" si="0"/>
        <v>0</v>
      </c>
      <c r="AB66" s="25"/>
      <c r="AC66" s="25">
        <v>0</v>
      </c>
      <c r="AD66" s="25"/>
      <c r="AE66" s="32"/>
      <c r="AF66" s="25"/>
      <c r="AG66" s="25"/>
      <c r="AH66" s="26"/>
      <c r="AI66" s="28"/>
      <c r="AJ66" s="33"/>
      <c r="AK66" s="32"/>
    </row>
    <row r="67" spans="1:37" x14ac:dyDescent="0.25">
      <c r="A67" s="25" t="s">
        <v>267</v>
      </c>
      <c r="B67" s="25" t="s">
        <v>68</v>
      </c>
      <c r="C67" s="25" t="s">
        <v>68</v>
      </c>
      <c r="D67" s="25" t="s">
        <v>108</v>
      </c>
      <c r="E67" s="25" t="s">
        <v>263</v>
      </c>
      <c r="F67" s="25" t="s">
        <v>265</v>
      </c>
      <c r="G67" s="25">
        <v>8</v>
      </c>
      <c r="H67" s="25" t="s">
        <v>259</v>
      </c>
      <c r="I67" s="25" t="s">
        <v>260</v>
      </c>
      <c r="J67" s="26">
        <v>159</v>
      </c>
      <c r="K67" s="27">
        <f t="shared" si="1"/>
        <v>159</v>
      </c>
      <c r="L67" s="28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30"/>
      <c r="AA67" s="31">
        <f t="shared" si="0"/>
        <v>0</v>
      </c>
      <c r="AB67" s="25"/>
      <c r="AC67" s="25">
        <v>1</v>
      </c>
      <c r="AD67" s="25"/>
      <c r="AE67" s="32"/>
      <c r="AF67" s="25"/>
      <c r="AG67" s="25"/>
      <c r="AH67" s="26"/>
      <c r="AI67" s="28"/>
      <c r="AJ67" s="33"/>
      <c r="AK67" s="32"/>
    </row>
    <row r="68" spans="1:37" x14ac:dyDescent="0.25">
      <c r="A68" s="25" t="s">
        <v>268</v>
      </c>
      <c r="B68" s="25" t="s">
        <v>68</v>
      </c>
      <c r="C68" s="25" t="s">
        <v>68</v>
      </c>
      <c r="D68" s="25" t="s">
        <v>108</v>
      </c>
      <c r="E68" s="25" t="s">
        <v>258</v>
      </c>
      <c r="F68" s="25" t="s">
        <v>269</v>
      </c>
      <c r="G68" s="25">
        <v>8</v>
      </c>
      <c r="H68" s="25" t="s">
        <v>259</v>
      </c>
      <c r="I68" s="25" t="s">
        <v>260</v>
      </c>
      <c r="J68" s="26">
        <v>139</v>
      </c>
      <c r="K68" s="27">
        <f t="shared" si="1"/>
        <v>139</v>
      </c>
      <c r="L68" s="28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30"/>
      <c r="AA68" s="31">
        <f t="shared" ref="AA68:AA130" si="2">IF(Z68&gt;0,K68,0)</f>
        <v>0</v>
      </c>
      <c r="AB68" s="25"/>
      <c r="AC68" s="25"/>
      <c r="AD68" s="25"/>
      <c r="AE68" s="32"/>
      <c r="AF68" s="25"/>
      <c r="AG68" s="25"/>
      <c r="AH68" s="26"/>
      <c r="AI68" s="28"/>
      <c r="AJ68" s="33"/>
      <c r="AK68" s="32"/>
    </row>
    <row r="69" spans="1:37" ht="30" x14ac:dyDescent="0.25">
      <c r="A69" s="25" t="s">
        <v>270</v>
      </c>
      <c r="B69" s="25" t="s">
        <v>271</v>
      </c>
      <c r="C69" s="25" t="s">
        <v>45</v>
      </c>
      <c r="D69" s="25" t="s">
        <v>58</v>
      </c>
      <c r="E69" s="25" t="s">
        <v>272</v>
      </c>
      <c r="F69" s="25" t="s">
        <v>171</v>
      </c>
      <c r="G69" s="25">
        <v>8</v>
      </c>
      <c r="H69" s="25" t="s">
        <v>273</v>
      </c>
      <c r="I69" s="25" t="s">
        <v>274</v>
      </c>
      <c r="J69" s="26">
        <v>229</v>
      </c>
      <c r="K69" s="27">
        <f t="shared" ref="K69:K130" si="3">IF(N69&gt;0,N69,J69)</f>
        <v>229</v>
      </c>
      <c r="L69" s="28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30"/>
      <c r="AA69" s="31">
        <f t="shared" si="2"/>
        <v>0</v>
      </c>
      <c r="AB69" s="25"/>
      <c r="AC69" s="25">
        <v>3</v>
      </c>
      <c r="AD69" s="25"/>
      <c r="AE69" s="32"/>
      <c r="AF69" s="25"/>
      <c r="AG69" s="25"/>
      <c r="AH69" s="26"/>
      <c r="AI69" s="28"/>
      <c r="AJ69" s="33"/>
      <c r="AK69" s="32"/>
    </row>
    <row r="70" spans="1:37" ht="30" x14ac:dyDescent="0.25">
      <c r="A70" s="25" t="s">
        <v>275</v>
      </c>
      <c r="B70" s="25" t="s">
        <v>276</v>
      </c>
      <c r="C70" s="25" t="s">
        <v>45</v>
      </c>
      <c r="D70" s="25" t="s">
        <v>58</v>
      </c>
      <c r="E70" s="25" t="s">
        <v>277</v>
      </c>
      <c r="F70" s="25" t="s">
        <v>272</v>
      </c>
      <c r="G70" s="25">
        <v>8</v>
      </c>
      <c r="H70" s="25" t="s">
        <v>273</v>
      </c>
      <c r="I70" s="25" t="s">
        <v>278</v>
      </c>
      <c r="J70" s="26">
        <v>114</v>
      </c>
      <c r="K70" s="27">
        <f t="shared" si="3"/>
        <v>114</v>
      </c>
      <c r="L70" s="28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30"/>
      <c r="AA70" s="31">
        <f t="shared" si="2"/>
        <v>0</v>
      </c>
      <c r="AB70" s="25"/>
      <c r="AC70" s="25">
        <v>1</v>
      </c>
      <c r="AD70" s="25"/>
      <c r="AE70" s="32"/>
      <c r="AF70" s="25"/>
      <c r="AG70" s="25"/>
      <c r="AH70" s="26"/>
      <c r="AI70" s="28"/>
      <c r="AJ70" s="33"/>
      <c r="AK70" s="32"/>
    </row>
    <row r="71" spans="1:37" ht="30.75" thickBot="1" x14ac:dyDescent="0.3">
      <c r="A71" s="25" t="s">
        <v>279</v>
      </c>
      <c r="B71" s="25" t="s">
        <v>280</v>
      </c>
      <c r="C71" s="25" t="s">
        <v>45</v>
      </c>
      <c r="D71" s="25" t="s">
        <v>58</v>
      </c>
      <c r="E71" s="25" t="s">
        <v>281</v>
      </c>
      <c r="F71" s="25" t="s">
        <v>277</v>
      </c>
      <c r="G71" s="25">
        <v>8</v>
      </c>
      <c r="H71" s="25" t="s">
        <v>273</v>
      </c>
      <c r="I71" s="25" t="s">
        <v>278</v>
      </c>
      <c r="J71" s="26">
        <v>91</v>
      </c>
      <c r="K71" s="27">
        <f t="shared" si="3"/>
        <v>91</v>
      </c>
      <c r="L71" s="28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35"/>
      <c r="Z71" s="30"/>
      <c r="AA71" s="31">
        <f t="shared" si="2"/>
        <v>0</v>
      </c>
      <c r="AB71" s="25"/>
      <c r="AC71" s="25">
        <v>1</v>
      </c>
      <c r="AD71" s="25"/>
      <c r="AE71" s="32"/>
      <c r="AF71" s="25"/>
      <c r="AG71" s="25"/>
      <c r="AH71" s="26"/>
      <c r="AI71" s="28"/>
      <c r="AJ71" s="33"/>
      <c r="AK71" s="32"/>
    </row>
    <row r="72" spans="1:37" ht="60.75" thickBot="1" x14ac:dyDescent="0.3">
      <c r="A72" s="25" t="s">
        <v>282</v>
      </c>
      <c r="B72" s="25" t="s">
        <v>45</v>
      </c>
      <c r="C72" s="25" t="s">
        <v>45</v>
      </c>
      <c r="D72" s="25" t="s">
        <v>58</v>
      </c>
      <c r="E72" s="25" t="s">
        <v>283</v>
      </c>
      <c r="F72" s="25" t="s">
        <v>83</v>
      </c>
      <c r="G72" s="25">
        <v>8</v>
      </c>
      <c r="H72" s="25" t="s">
        <v>84</v>
      </c>
      <c r="I72" s="25" t="s">
        <v>284</v>
      </c>
      <c r="J72" s="26">
        <v>196</v>
      </c>
      <c r="K72" s="27">
        <f t="shared" si="3"/>
        <v>199</v>
      </c>
      <c r="L72" s="28">
        <v>46114</v>
      </c>
      <c r="M72" s="25" t="s">
        <v>61</v>
      </c>
      <c r="N72" s="25">
        <v>199</v>
      </c>
      <c r="O72" s="25">
        <v>198.9</v>
      </c>
      <c r="P72" s="25">
        <v>4</v>
      </c>
      <c r="Q72" s="25" t="s">
        <v>285</v>
      </c>
      <c r="R72" s="25" t="s">
        <v>52</v>
      </c>
      <c r="S72" s="25" t="s">
        <v>85</v>
      </c>
      <c r="T72" s="25" t="s">
        <v>52</v>
      </c>
      <c r="U72" s="25" t="s">
        <v>58</v>
      </c>
      <c r="V72" s="25" t="s">
        <v>54</v>
      </c>
      <c r="W72" s="25" t="s">
        <v>86</v>
      </c>
      <c r="X72" s="26" t="s">
        <v>56</v>
      </c>
      <c r="Y72" s="29" t="s">
        <v>286</v>
      </c>
      <c r="Z72" s="30"/>
      <c r="AA72" s="31">
        <f t="shared" si="2"/>
        <v>0</v>
      </c>
      <c r="AB72" s="25"/>
      <c r="AC72" s="25">
        <v>4</v>
      </c>
      <c r="AD72" s="25"/>
      <c r="AE72" s="32"/>
      <c r="AF72" s="25"/>
      <c r="AG72" s="25"/>
      <c r="AH72" s="26"/>
      <c r="AI72" s="28"/>
      <c r="AJ72" s="33"/>
      <c r="AK72" s="32"/>
    </row>
    <row r="73" spans="1:37" ht="30.75" thickBot="1" x14ac:dyDescent="0.3">
      <c r="A73" s="25" t="s">
        <v>287</v>
      </c>
      <c r="B73" s="25" t="s">
        <v>45</v>
      </c>
      <c r="C73" s="25" t="s">
        <v>45</v>
      </c>
      <c r="D73" s="25" t="s">
        <v>58</v>
      </c>
      <c r="E73" s="25" t="s">
        <v>288</v>
      </c>
      <c r="F73" s="25" t="s">
        <v>283</v>
      </c>
      <c r="G73" s="25">
        <v>8</v>
      </c>
      <c r="H73" s="25" t="s">
        <v>84</v>
      </c>
      <c r="I73" s="25" t="s">
        <v>278</v>
      </c>
      <c r="J73" s="26">
        <v>132</v>
      </c>
      <c r="K73" s="27">
        <f t="shared" si="3"/>
        <v>133</v>
      </c>
      <c r="L73" s="28">
        <v>46114</v>
      </c>
      <c r="M73" s="25" t="s">
        <v>61</v>
      </c>
      <c r="N73" s="25">
        <v>133</v>
      </c>
      <c r="O73" s="25">
        <v>132.69999999999999</v>
      </c>
      <c r="P73" s="25">
        <v>2</v>
      </c>
      <c r="Q73" s="25" t="s">
        <v>121</v>
      </c>
      <c r="R73" s="25" t="s">
        <v>52</v>
      </c>
      <c r="S73" s="25" t="s">
        <v>285</v>
      </c>
      <c r="T73" s="25" t="s">
        <v>52</v>
      </c>
      <c r="U73" s="25" t="s">
        <v>58</v>
      </c>
      <c r="V73" s="25" t="s">
        <v>54</v>
      </c>
      <c r="W73" s="25" t="s">
        <v>63</v>
      </c>
      <c r="X73" s="26" t="s">
        <v>56</v>
      </c>
      <c r="Y73" s="29"/>
      <c r="Z73" s="30"/>
      <c r="AA73" s="31">
        <f t="shared" si="2"/>
        <v>0</v>
      </c>
      <c r="AB73" s="25"/>
      <c r="AC73" s="25">
        <v>2</v>
      </c>
      <c r="AD73" s="25"/>
      <c r="AE73" s="32"/>
      <c r="AF73" s="25"/>
      <c r="AG73" s="25"/>
      <c r="AH73" s="26"/>
      <c r="AI73" s="28"/>
      <c r="AJ73" s="33"/>
      <c r="AK73" s="32"/>
    </row>
    <row r="74" spans="1:37" ht="30" x14ac:dyDescent="0.25">
      <c r="A74" s="25" t="s">
        <v>289</v>
      </c>
      <c r="B74" s="25" t="s">
        <v>290</v>
      </c>
      <c r="C74" s="25" t="s">
        <v>45</v>
      </c>
      <c r="D74" s="25" t="s">
        <v>58</v>
      </c>
      <c r="E74" s="36" t="s">
        <v>291</v>
      </c>
      <c r="F74" s="25" t="s">
        <v>292</v>
      </c>
      <c r="G74" s="25">
        <v>8</v>
      </c>
      <c r="H74" s="25" t="s">
        <v>48</v>
      </c>
      <c r="I74" s="25" t="s">
        <v>284</v>
      </c>
      <c r="J74" s="26">
        <v>189</v>
      </c>
      <c r="K74" s="27">
        <f t="shared" si="3"/>
        <v>189</v>
      </c>
      <c r="L74" s="28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34"/>
      <c r="Z74" s="30"/>
      <c r="AA74" s="31">
        <f t="shared" si="2"/>
        <v>0</v>
      </c>
      <c r="AB74" s="25"/>
      <c r="AC74" s="25">
        <v>5</v>
      </c>
      <c r="AD74" s="25"/>
      <c r="AE74" s="32"/>
      <c r="AF74" s="25"/>
      <c r="AG74" s="25"/>
      <c r="AH74" s="26"/>
      <c r="AI74" s="28"/>
      <c r="AJ74" s="33"/>
      <c r="AK74" s="32"/>
    </row>
    <row r="75" spans="1:37" ht="45" x14ac:dyDescent="0.25">
      <c r="A75" s="25" t="s">
        <v>293</v>
      </c>
      <c r="B75" s="25" t="s">
        <v>294</v>
      </c>
      <c r="C75" s="25" t="s">
        <v>294</v>
      </c>
      <c r="D75" s="25" t="s">
        <v>45</v>
      </c>
      <c r="E75" s="25" t="s">
        <v>295</v>
      </c>
      <c r="F75" s="25" t="s">
        <v>291</v>
      </c>
      <c r="G75" s="25">
        <v>8</v>
      </c>
      <c r="H75" s="25" t="s">
        <v>48</v>
      </c>
      <c r="I75" s="25" t="s">
        <v>278</v>
      </c>
      <c r="J75" s="26">
        <v>282</v>
      </c>
      <c r="K75" s="27">
        <f t="shared" si="3"/>
        <v>282</v>
      </c>
      <c r="L75" s="28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30"/>
      <c r="AA75" s="31">
        <f t="shared" si="2"/>
        <v>0</v>
      </c>
      <c r="AB75" s="25"/>
      <c r="AC75" s="25">
        <v>3</v>
      </c>
      <c r="AD75" s="25"/>
      <c r="AE75" s="32"/>
      <c r="AF75" s="25"/>
      <c r="AG75" s="25"/>
      <c r="AH75" s="26"/>
      <c r="AI75" s="28"/>
      <c r="AJ75" s="33"/>
      <c r="AK75" s="32"/>
    </row>
    <row r="76" spans="1:37" ht="30" x14ac:dyDescent="0.25">
      <c r="A76" s="25" t="s">
        <v>296</v>
      </c>
      <c r="B76" s="25" t="s">
        <v>160</v>
      </c>
      <c r="C76" s="25" t="s">
        <v>45</v>
      </c>
      <c r="D76" s="25" t="s">
        <v>58</v>
      </c>
      <c r="E76" s="36" t="s">
        <v>297</v>
      </c>
      <c r="F76" s="25" t="s">
        <v>295</v>
      </c>
      <c r="G76" s="25">
        <v>8</v>
      </c>
      <c r="H76" s="25" t="s">
        <v>273</v>
      </c>
      <c r="I76" s="25" t="s">
        <v>278</v>
      </c>
      <c r="J76" s="26">
        <v>103</v>
      </c>
      <c r="K76" s="27">
        <f t="shared" si="3"/>
        <v>103</v>
      </c>
      <c r="L76" s="28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30"/>
      <c r="AA76" s="31">
        <f t="shared" si="2"/>
        <v>0</v>
      </c>
      <c r="AB76" s="25"/>
      <c r="AC76" s="25">
        <v>2</v>
      </c>
      <c r="AD76" s="25"/>
      <c r="AE76" s="32"/>
      <c r="AF76" s="25"/>
      <c r="AG76" s="25"/>
      <c r="AH76" s="26"/>
      <c r="AI76" s="28"/>
      <c r="AJ76" s="33"/>
      <c r="AK76" s="32"/>
    </row>
    <row r="77" spans="1:37" ht="30" x14ac:dyDescent="0.25">
      <c r="A77" s="25" t="s">
        <v>298</v>
      </c>
      <c r="B77" s="25" t="s">
        <v>174</v>
      </c>
      <c r="C77" s="25" t="s">
        <v>45</v>
      </c>
      <c r="D77" s="25" t="s">
        <v>58</v>
      </c>
      <c r="E77" s="25" t="s">
        <v>299</v>
      </c>
      <c r="F77" s="25" t="s">
        <v>297</v>
      </c>
      <c r="G77" s="25">
        <v>8</v>
      </c>
      <c r="H77" s="25" t="s">
        <v>273</v>
      </c>
      <c r="I77" s="25" t="s">
        <v>278</v>
      </c>
      <c r="J77" s="26">
        <v>165</v>
      </c>
      <c r="K77" s="27">
        <f t="shared" si="3"/>
        <v>165</v>
      </c>
      <c r="L77" s="28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30"/>
      <c r="AA77" s="31">
        <f t="shared" si="2"/>
        <v>0</v>
      </c>
      <c r="AB77" s="25"/>
      <c r="AC77" s="25">
        <v>2</v>
      </c>
      <c r="AD77" s="25"/>
      <c r="AE77" s="32"/>
      <c r="AF77" s="25"/>
      <c r="AG77" s="25"/>
      <c r="AH77" s="26"/>
      <c r="AI77" s="28"/>
      <c r="AJ77" s="33"/>
      <c r="AK77" s="32"/>
    </row>
    <row r="78" spans="1:37" x14ac:dyDescent="0.25">
      <c r="A78" s="35" t="s">
        <v>300</v>
      </c>
      <c r="B78" s="35" t="s">
        <v>301</v>
      </c>
      <c r="C78" s="35" t="s">
        <v>45</v>
      </c>
      <c r="D78" s="35" t="s">
        <v>58</v>
      </c>
      <c r="E78" s="35" t="s">
        <v>302</v>
      </c>
      <c r="F78" s="35" t="s">
        <v>299</v>
      </c>
      <c r="G78" s="35">
        <v>8</v>
      </c>
      <c r="H78" s="35" t="s">
        <v>273</v>
      </c>
      <c r="I78" s="35" t="s">
        <v>278</v>
      </c>
      <c r="J78" s="37">
        <v>227</v>
      </c>
      <c r="K78" s="38">
        <f t="shared" si="3"/>
        <v>227</v>
      </c>
      <c r="L78" s="39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40"/>
      <c r="AA78" s="41">
        <f t="shared" si="2"/>
        <v>0</v>
      </c>
      <c r="AB78" s="35"/>
      <c r="AC78" s="35">
        <v>4</v>
      </c>
      <c r="AD78" s="35"/>
      <c r="AE78" s="42"/>
      <c r="AF78" s="35"/>
      <c r="AG78" s="35"/>
      <c r="AH78" s="37"/>
      <c r="AI78" s="39"/>
      <c r="AJ78" s="43"/>
      <c r="AK78" s="42"/>
    </row>
    <row r="79" spans="1:37" s="25" customFormat="1" ht="30" x14ac:dyDescent="0.25">
      <c r="A79" s="25" t="s">
        <v>303</v>
      </c>
      <c r="B79" s="25" t="s">
        <v>304</v>
      </c>
      <c r="C79" s="25" t="s">
        <v>304</v>
      </c>
      <c r="D79" s="25" t="s">
        <v>45</v>
      </c>
      <c r="E79" s="25" t="s">
        <v>305</v>
      </c>
      <c r="F79" s="25" t="s">
        <v>47</v>
      </c>
      <c r="G79" s="25">
        <v>8</v>
      </c>
      <c r="H79" s="25" t="s">
        <v>48</v>
      </c>
      <c r="I79" s="25" t="s">
        <v>284</v>
      </c>
      <c r="J79" s="25">
        <v>373</v>
      </c>
      <c r="K79" s="31">
        <f t="shared" si="3"/>
        <v>375</v>
      </c>
      <c r="L79" s="33">
        <v>46118</v>
      </c>
      <c r="M79" s="25" t="s">
        <v>50</v>
      </c>
      <c r="N79" s="25">
        <v>375</v>
      </c>
      <c r="O79" s="25">
        <v>374.3</v>
      </c>
      <c r="P79" s="25">
        <v>5</v>
      </c>
      <c r="Q79" s="25" t="s">
        <v>306</v>
      </c>
      <c r="R79" s="25" t="s">
        <v>52</v>
      </c>
      <c r="S79" s="25" t="s">
        <v>53</v>
      </c>
      <c r="T79" s="25" t="s">
        <v>52</v>
      </c>
      <c r="U79" s="25" t="s">
        <v>108</v>
      </c>
      <c r="V79" s="25" t="s">
        <v>54</v>
      </c>
      <c r="W79" s="25" t="s">
        <v>108</v>
      </c>
      <c r="X79" s="25" t="s">
        <v>56</v>
      </c>
      <c r="Z79" s="44"/>
      <c r="AA79" s="31">
        <f t="shared" si="2"/>
        <v>0</v>
      </c>
      <c r="AC79" s="25">
        <v>2</v>
      </c>
      <c r="AI79" s="33"/>
      <c r="AJ79" s="33"/>
    </row>
    <row r="80" spans="1:37" ht="30.75" thickBot="1" x14ac:dyDescent="0.3">
      <c r="A80" s="34" t="s">
        <v>307</v>
      </c>
      <c r="B80" s="34" t="s">
        <v>44</v>
      </c>
      <c r="C80" s="34" t="s">
        <v>44</v>
      </c>
      <c r="D80" s="34" t="s">
        <v>45</v>
      </c>
      <c r="E80" s="34" t="s">
        <v>308</v>
      </c>
      <c r="F80" s="34" t="s">
        <v>305</v>
      </c>
      <c r="G80" s="34">
        <v>8</v>
      </c>
      <c r="H80" s="34" t="s">
        <v>48</v>
      </c>
      <c r="I80" s="34" t="s">
        <v>278</v>
      </c>
      <c r="J80" s="45">
        <v>379</v>
      </c>
      <c r="K80" s="46">
        <f t="shared" si="3"/>
        <v>371</v>
      </c>
      <c r="L80" s="47">
        <v>46118</v>
      </c>
      <c r="M80" s="34" t="s">
        <v>61</v>
      </c>
      <c r="N80" s="34">
        <v>371</v>
      </c>
      <c r="O80" s="34">
        <v>370.8</v>
      </c>
      <c r="P80" s="34">
        <v>4</v>
      </c>
      <c r="Q80" s="34" t="s">
        <v>90</v>
      </c>
      <c r="R80" s="34" t="s">
        <v>52</v>
      </c>
      <c r="S80" s="34" t="s">
        <v>306</v>
      </c>
      <c r="T80" s="34" t="s">
        <v>52</v>
      </c>
      <c r="U80" s="34" t="s">
        <v>45</v>
      </c>
      <c r="V80" s="34" t="s">
        <v>54</v>
      </c>
      <c r="W80" s="34" t="s">
        <v>55</v>
      </c>
      <c r="X80" s="34" t="s">
        <v>56</v>
      </c>
      <c r="Y80" s="48"/>
      <c r="Z80" s="49"/>
      <c r="AA80" s="50">
        <f t="shared" si="2"/>
        <v>0</v>
      </c>
      <c r="AB80" s="34"/>
      <c r="AC80" s="34">
        <v>4</v>
      </c>
      <c r="AD80" s="34"/>
      <c r="AE80" s="51"/>
      <c r="AF80" s="34"/>
      <c r="AG80" s="34"/>
      <c r="AH80" s="45"/>
      <c r="AI80" s="47"/>
      <c r="AJ80" s="52"/>
      <c r="AK80" s="51"/>
    </row>
    <row r="81" spans="1:37" ht="30.75" thickBot="1" x14ac:dyDescent="0.3">
      <c r="A81" s="25" t="s">
        <v>309</v>
      </c>
      <c r="B81" s="25" t="s">
        <v>310</v>
      </c>
      <c r="C81" s="25" t="s">
        <v>45</v>
      </c>
      <c r="D81" s="25" t="s">
        <v>58</v>
      </c>
      <c r="E81" s="25" t="s">
        <v>311</v>
      </c>
      <c r="F81" s="25" t="s">
        <v>308</v>
      </c>
      <c r="G81" s="25">
        <v>8</v>
      </c>
      <c r="H81" s="25" t="s">
        <v>48</v>
      </c>
      <c r="I81" s="25" t="s">
        <v>278</v>
      </c>
      <c r="J81" s="26">
        <v>168</v>
      </c>
      <c r="K81" s="27">
        <f t="shared" si="3"/>
        <v>169</v>
      </c>
      <c r="L81" s="28">
        <v>46115</v>
      </c>
      <c r="M81" s="25" t="s">
        <v>50</v>
      </c>
      <c r="N81" s="25">
        <v>169</v>
      </c>
      <c r="O81" s="25">
        <v>168.1</v>
      </c>
      <c r="P81" s="25">
        <v>1</v>
      </c>
      <c r="Q81" s="25" t="s">
        <v>312</v>
      </c>
      <c r="R81" s="25" t="s">
        <v>52</v>
      </c>
      <c r="S81" s="25" t="s">
        <v>90</v>
      </c>
      <c r="T81" s="25" t="s">
        <v>52</v>
      </c>
      <c r="U81" s="25" t="s">
        <v>45</v>
      </c>
      <c r="V81" s="25" t="s">
        <v>54</v>
      </c>
      <c r="W81" s="25" t="s">
        <v>55</v>
      </c>
      <c r="X81" s="26" t="s">
        <v>56</v>
      </c>
      <c r="Y81" s="29"/>
      <c r="Z81" s="30"/>
      <c r="AA81" s="31">
        <f t="shared" si="2"/>
        <v>0</v>
      </c>
      <c r="AB81" s="25"/>
      <c r="AC81" s="25">
        <v>4</v>
      </c>
      <c r="AD81" s="25"/>
      <c r="AE81" s="32"/>
      <c r="AF81" s="25"/>
      <c r="AG81" s="25"/>
      <c r="AH81" s="26"/>
      <c r="AI81" s="28"/>
      <c r="AJ81" s="33"/>
      <c r="AK81" s="32"/>
    </row>
    <row r="82" spans="1:37" ht="30.75" thickBot="1" x14ac:dyDescent="0.3">
      <c r="A82" s="25" t="s">
        <v>313</v>
      </c>
      <c r="B82" s="25" t="s">
        <v>44</v>
      </c>
      <c r="C82" s="25" t="s">
        <v>44</v>
      </c>
      <c r="D82" s="25" t="s">
        <v>45</v>
      </c>
      <c r="E82" s="25" t="s">
        <v>314</v>
      </c>
      <c r="F82" s="25" t="s">
        <v>311</v>
      </c>
      <c r="G82" s="25">
        <v>8</v>
      </c>
      <c r="H82" s="25" t="s">
        <v>48</v>
      </c>
      <c r="I82" s="25" t="s">
        <v>278</v>
      </c>
      <c r="J82" s="26">
        <v>67</v>
      </c>
      <c r="K82" s="27">
        <f t="shared" si="3"/>
        <v>72</v>
      </c>
      <c r="L82" s="28">
        <v>46115</v>
      </c>
      <c r="M82" s="25" t="s">
        <v>61</v>
      </c>
      <c r="N82" s="25">
        <v>72</v>
      </c>
      <c r="O82" s="25">
        <v>71.099999999999994</v>
      </c>
      <c r="P82" s="25">
        <v>2</v>
      </c>
      <c r="Q82" s="25" t="s">
        <v>125</v>
      </c>
      <c r="R82" s="25" t="s">
        <v>52</v>
      </c>
      <c r="S82" s="25" t="s">
        <v>312</v>
      </c>
      <c r="T82" s="25" t="s">
        <v>52</v>
      </c>
      <c r="U82" s="25" t="s">
        <v>45</v>
      </c>
      <c r="V82" s="25" t="s">
        <v>54</v>
      </c>
      <c r="W82" s="25" t="s">
        <v>55</v>
      </c>
      <c r="X82" s="26" t="s">
        <v>56</v>
      </c>
      <c r="Y82" s="29"/>
      <c r="Z82" s="30"/>
      <c r="AA82" s="31">
        <f t="shared" si="2"/>
        <v>0</v>
      </c>
      <c r="AB82" s="25"/>
      <c r="AC82" s="25">
        <v>2</v>
      </c>
      <c r="AD82" s="25"/>
      <c r="AE82" s="32"/>
      <c r="AF82" s="25"/>
      <c r="AG82" s="25"/>
      <c r="AH82" s="26"/>
      <c r="AI82" s="28"/>
      <c r="AJ82" s="33"/>
      <c r="AK82" s="32"/>
    </row>
    <row r="83" spans="1:37" ht="30" x14ac:dyDescent="0.25">
      <c r="A83" s="25" t="s">
        <v>315</v>
      </c>
      <c r="B83" s="25" t="s">
        <v>316</v>
      </c>
      <c r="C83" s="25" t="s">
        <v>316</v>
      </c>
      <c r="D83" s="25" t="s">
        <v>45</v>
      </c>
      <c r="E83" s="25" t="s">
        <v>317</v>
      </c>
      <c r="F83" s="25" t="s">
        <v>291</v>
      </c>
      <c r="G83" s="25">
        <v>8</v>
      </c>
      <c r="H83" s="25" t="s">
        <v>84</v>
      </c>
      <c r="I83" s="25" t="s">
        <v>278</v>
      </c>
      <c r="J83" s="26">
        <v>275</v>
      </c>
      <c r="K83" s="27">
        <f t="shared" si="3"/>
        <v>275</v>
      </c>
      <c r="L83" s="28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34"/>
      <c r="Z83" s="30"/>
      <c r="AA83" s="31">
        <f t="shared" si="2"/>
        <v>0</v>
      </c>
      <c r="AB83" s="25"/>
      <c r="AC83" s="25">
        <v>3</v>
      </c>
      <c r="AD83" s="25"/>
      <c r="AE83" s="32"/>
      <c r="AF83" s="25"/>
      <c r="AG83" s="25"/>
      <c r="AH83" s="26"/>
      <c r="AI83" s="28"/>
      <c r="AJ83" s="33"/>
      <c r="AK83" s="32"/>
    </row>
    <row r="84" spans="1:37" ht="30" x14ac:dyDescent="0.25">
      <c r="A84" s="25" t="s">
        <v>318</v>
      </c>
      <c r="B84" s="25" t="s">
        <v>319</v>
      </c>
      <c r="C84" s="25" t="s">
        <v>319</v>
      </c>
      <c r="D84" s="25" t="s">
        <v>45</v>
      </c>
      <c r="E84" s="25" t="s">
        <v>320</v>
      </c>
      <c r="F84" s="25" t="s">
        <v>167</v>
      </c>
      <c r="G84" s="25">
        <v>8</v>
      </c>
      <c r="H84" s="25" t="s">
        <v>321</v>
      </c>
      <c r="I84" s="25" t="s">
        <v>322</v>
      </c>
      <c r="J84" s="26">
        <v>282</v>
      </c>
      <c r="K84" s="27">
        <f t="shared" si="3"/>
        <v>282</v>
      </c>
      <c r="L84" s="28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30"/>
      <c r="AA84" s="31">
        <f t="shared" si="2"/>
        <v>0</v>
      </c>
      <c r="AB84" s="25"/>
      <c r="AC84" s="25">
        <v>2</v>
      </c>
      <c r="AD84" s="25"/>
      <c r="AE84" s="32"/>
      <c r="AF84" s="25"/>
      <c r="AG84" s="25"/>
      <c r="AH84" s="26"/>
      <c r="AI84" s="28"/>
      <c r="AJ84" s="33"/>
      <c r="AK84" s="32"/>
    </row>
    <row r="85" spans="1:37" x14ac:dyDescent="0.25">
      <c r="A85" s="25" t="s">
        <v>323</v>
      </c>
      <c r="B85" s="25" t="s">
        <v>324</v>
      </c>
      <c r="C85" s="25" t="s">
        <v>324</v>
      </c>
      <c r="D85" s="25" t="s">
        <v>45</v>
      </c>
      <c r="E85" s="25" t="s">
        <v>325</v>
      </c>
      <c r="F85" s="25" t="s">
        <v>320</v>
      </c>
      <c r="G85" s="25">
        <v>8</v>
      </c>
      <c r="H85" s="25" t="s">
        <v>321</v>
      </c>
      <c r="I85" s="25" t="s">
        <v>326</v>
      </c>
      <c r="J85" s="26">
        <v>208</v>
      </c>
      <c r="K85" s="27">
        <f t="shared" si="3"/>
        <v>208</v>
      </c>
      <c r="L85" s="28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30"/>
      <c r="AA85" s="31">
        <f t="shared" si="2"/>
        <v>0</v>
      </c>
      <c r="AB85" s="25"/>
      <c r="AC85" s="25">
        <v>3</v>
      </c>
      <c r="AD85" s="25"/>
      <c r="AE85" s="32"/>
      <c r="AF85" s="25"/>
      <c r="AG85" s="25"/>
      <c r="AH85" s="26"/>
      <c r="AI85" s="28"/>
      <c r="AJ85" s="33"/>
      <c r="AK85" s="32"/>
    </row>
    <row r="86" spans="1:37" ht="120" x14ac:dyDescent="0.25">
      <c r="A86" s="25" t="s">
        <v>327</v>
      </c>
      <c r="B86" s="25" t="s">
        <v>328</v>
      </c>
      <c r="C86" s="25" t="s">
        <v>329</v>
      </c>
      <c r="D86" s="25" t="s">
        <v>45</v>
      </c>
      <c r="E86" s="25" t="s">
        <v>330</v>
      </c>
      <c r="F86" s="25" t="s">
        <v>325</v>
      </c>
      <c r="G86" s="25">
        <v>8</v>
      </c>
      <c r="H86" s="25" t="s">
        <v>321</v>
      </c>
      <c r="I86" s="25" t="s">
        <v>326</v>
      </c>
      <c r="J86" s="26">
        <v>312</v>
      </c>
      <c r="K86" s="27">
        <f t="shared" si="3"/>
        <v>312</v>
      </c>
      <c r="L86" s="28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30"/>
      <c r="AA86" s="31">
        <f t="shared" si="2"/>
        <v>0</v>
      </c>
      <c r="AB86" s="25"/>
      <c r="AC86" s="25">
        <v>4</v>
      </c>
      <c r="AD86" s="25"/>
      <c r="AE86" s="32"/>
      <c r="AF86" s="25"/>
      <c r="AG86" s="25"/>
      <c r="AH86" s="26"/>
      <c r="AI86" s="28"/>
      <c r="AJ86" s="33"/>
      <c r="AK86" s="32"/>
    </row>
    <row r="87" spans="1:37" ht="30" x14ac:dyDescent="0.25">
      <c r="A87" s="25" t="s">
        <v>331</v>
      </c>
      <c r="B87" s="25" t="s">
        <v>68</v>
      </c>
      <c r="C87" s="25" t="s">
        <v>68</v>
      </c>
      <c r="D87" s="25" t="s">
        <v>45</v>
      </c>
      <c r="E87" s="25" t="s">
        <v>332</v>
      </c>
      <c r="F87" s="25" t="s">
        <v>167</v>
      </c>
      <c r="G87" s="25">
        <v>8</v>
      </c>
      <c r="H87" s="25" t="s">
        <v>60</v>
      </c>
      <c r="I87" s="25" t="s">
        <v>322</v>
      </c>
      <c r="J87" s="26">
        <v>138</v>
      </c>
      <c r="K87" s="27">
        <f t="shared" si="3"/>
        <v>138</v>
      </c>
      <c r="L87" s="28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30"/>
      <c r="AA87" s="31">
        <f t="shared" si="2"/>
        <v>0</v>
      </c>
      <c r="AB87" s="25"/>
      <c r="AC87" s="25">
        <v>1</v>
      </c>
      <c r="AD87" s="25"/>
      <c r="AE87" s="32"/>
      <c r="AF87" s="25"/>
      <c r="AG87" s="25"/>
      <c r="AH87" s="26"/>
      <c r="AI87" s="28"/>
      <c r="AJ87" s="33"/>
      <c r="AK87" s="32"/>
    </row>
    <row r="88" spans="1:37" ht="30" x14ac:dyDescent="0.25">
      <c r="A88" s="25" t="s">
        <v>333</v>
      </c>
      <c r="B88" s="25" t="s">
        <v>334</v>
      </c>
      <c r="C88" s="25" t="s">
        <v>335</v>
      </c>
      <c r="D88" s="25" t="s">
        <v>45</v>
      </c>
      <c r="E88" s="25" t="s">
        <v>336</v>
      </c>
      <c r="F88" s="25" t="s">
        <v>332</v>
      </c>
      <c r="G88" s="25">
        <v>8</v>
      </c>
      <c r="H88" s="25" t="s">
        <v>321</v>
      </c>
      <c r="I88" s="25" t="s">
        <v>326</v>
      </c>
      <c r="J88" s="26">
        <v>169</v>
      </c>
      <c r="K88" s="27">
        <f t="shared" si="3"/>
        <v>169</v>
      </c>
      <c r="L88" s="28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30"/>
      <c r="AA88" s="31">
        <f t="shared" si="2"/>
        <v>0</v>
      </c>
      <c r="AB88" s="25"/>
      <c r="AC88" s="25">
        <v>2</v>
      </c>
      <c r="AD88" s="25"/>
      <c r="AE88" s="32"/>
      <c r="AF88" s="25"/>
      <c r="AG88" s="25"/>
      <c r="AH88" s="26"/>
      <c r="AI88" s="28"/>
      <c r="AJ88" s="33"/>
      <c r="AK88" s="32"/>
    </row>
    <row r="89" spans="1:37" ht="45" x14ac:dyDescent="0.25">
      <c r="A89" s="25" t="s">
        <v>337</v>
      </c>
      <c r="B89" s="25" t="s">
        <v>338</v>
      </c>
      <c r="C89" s="25" t="s">
        <v>339</v>
      </c>
      <c r="D89" s="25" t="s">
        <v>45</v>
      </c>
      <c r="E89" s="25" t="s">
        <v>340</v>
      </c>
      <c r="F89" s="25" t="s">
        <v>341</v>
      </c>
      <c r="G89" s="25">
        <v>8</v>
      </c>
      <c r="H89" s="25" t="s">
        <v>321</v>
      </c>
      <c r="I89" s="25" t="s">
        <v>326</v>
      </c>
      <c r="J89" s="26">
        <v>198</v>
      </c>
      <c r="K89" s="27">
        <f t="shared" si="3"/>
        <v>198</v>
      </c>
      <c r="L89" s="28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30"/>
      <c r="AA89" s="31">
        <f t="shared" si="2"/>
        <v>0</v>
      </c>
      <c r="AB89" s="25"/>
      <c r="AC89" s="25">
        <v>3</v>
      </c>
      <c r="AD89" s="25"/>
      <c r="AE89" s="32"/>
      <c r="AF89" s="25"/>
      <c r="AG89" s="25"/>
      <c r="AH89" s="26"/>
      <c r="AI89" s="28"/>
      <c r="AJ89" s="33"/>
      <c r="AK89" s="32"/>
    </row>
    <row r="90" spans="1:37" ht="30" x14ac:dyDescent="0.25">
      <c r="A90" s="25" t="s">
        <v>342</v>
      </c>
      <c r="B90" s="25" t="s">
        <v>334</v>
      </c>
      <c r="C90" s="25" t="s">
        <v>335</v>
      </c>
      <c r="D90" s="25" t="s">
        <v>45</v>
      </c>
      <c r="E90" s="25" t="s">
        <v>343</v>
      </c>
      <c r="F90" s="25" t="s">
        <v>340</v>
      </c>
      <c r="G90" s="25">
        <v>8</v>
      </c>
      <c r="H90" s="25" t="s">
        <v>273</v>
      </c>
      <c r="I90" s="25" t="s">
        <v>326</v>
      </c>
      <c r="J90" s="26">
        <v>89</v>
      </c>
      <c r="K90" s="27">
        <f t="shared" si="3"/>
        <v>89</v>
      </c>
      <c r="L90" s="28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30"/>
      <c r="AA90" s="31">
        <f t="shared" si="2"/>
        <v>0</v>
      </c>
      <c r="AB90" s="25"/>
      <c r="AC90" s="25">
        <v>1</v>
      </c>
      <c r="AD90" s="25"/>
      <c r="AE90" s="32"/>
      <c r="AF90" s="25"/>
      <c r="AG90" s="25"/>
      <c r="AH90" s="26"/>
      <c r="AI90" s="28"/>
      <c r="AJ90" s="33"/>
      <c r="AK90" s="32"/>
    </row>
    <row r="91" spans="1:37" ht="30" x14ac:dyDescent="0.25">
      <c r="A91" s="25" t="s">
        <v>344</v>
      </c>
      <c r="B91" s="25" t="s">
        <v>345</v>
      </c>
      <c r="C91" s="25" t="s">
        <v>45</v>
      </c>
      <c r="D91" s="25" t="s">
        <v>58</v>
      </c>
      <c r="E91" s="25" t="s">
        <v>346</v>
      </c>
      <c r="F91" s="25" t="s">
        <v>347</v>
      </c>
      <c r="G91" s="25">
        <v>8</v>
      </c>
      <c r="H91" s="25" t="s">
        <v>273</v>
      </c>
      <c r="I91" s="25" t="s">
        <v>326</v>
      </c>
      <c r="J91" s="26">
        <v>332</v>
      </c>
      <c r="K91" s="27">
        <f t="shared" si="3"/>
        <v>332</v>
      </c>
      <c r="L91" s="28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30"/>
      <c r="AA91" s="31">
        <f t="shared" si="2"/>
        <v>0</v>
      </c>
      <c r="AB91" s="25"/>
      <c r="AC91" s="25">
        <v>6</v>
      </c>
      <c r="AD91" s="25"/>
      <c r="AE91" s="32"/>
      <c r="AF91" s="25"/>
      <c r="AG91" s="25"/>
      <c r="AH91" s="26"/>
      <c r="AI91" s="28"/>
      <c r="AJ91" s="33"/>
      <c r="AK91" s="32"/>
    </row>
    <row r="92" spans="1:37" ht="30" x14ac:dyDescent="0.25">
      <c r="A92" s="25" t="s">
        <v>348</v>
      </c>
      <c r="B92" s="25" t="s">
        <v>349</v>
      </c>
      <c r="C92" s="25" t="s">
        <v>45</v>
      </c>
      <c r="D92" s="25" t="s">
        <v>58</v>
      </c>
      <c r="E92" s="25" t="s">
        <v>350</v>
      </c>
      <c r="F92" s="25" t="s">
        <v>171</v>
      </c>
      <c r="G92" s="25">
        <v>8</v>
      </c>
      <c r="H92" s="25" t="s">
        <v>273</v>
      </c>
      <c r="I92" s="25" t="s">
        <v>322</v>
      </c>
      <c r="J92" s="26">
        <v>61</v>
      </c>
      <c r="K92" s="27">
        <f t="shared" si="3"/>
        <v>61</v>
      </c>
      <c r="L92" s="28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30"/>
      <c r="AA92" s="31">
        <f t="shared" si="2"/>
        <v>0</v>
      </c>
      <c r="AB92" s="25"/>
      <c r="AC92" s="25">
        <v>1</v>
      </c>
      <c r="AD92" s="25"/>
      <c r="AE92" s="32"/>
      <c r="AF92" s="25"/>
      <c r="AG92" s="25"/>
      <c r="AH92" s="26"/>
      <c r="AI92" s="28"/>
      <c r="AJ92" s="33"/>
      <c r="AK92" s="32"/>
    </row>
    <row r="93" spans="1:37" x14ac:dyDescent="0.25">
      <c r="A93" s="25" t="s">
        <v>351</v>
      </c>
      <c r="B93" s="25" t="s">
        <v>68</v>
      </c>
      <c r="C93" s="25" t="s">
        <v>68</v>
      </c>
      <c r="D93" s="25" t="s">
        <v>108</v>
      </c>
      <c r="E93" s="25" t="s">
        <v>352</v>
      </c>
      <c r="F93" s="25" t="s">
        <v>341</v>
      </c>
      <c r="G93" s="25">
        <v>8</v>
      </c>
      <c r="H93" s="25" t="s">
        <v>273</v>
      </c>
      <c r="I93" s="25" t="s">
        <v>326</v>
      </c>
      <c r="J93" s="26">
        <v>80</v>
      </c>
      <c r="K93" s="27">
        <f t="shared" si="3"/>
        <v>80</v>
      </c>
      <c r="L93" s="28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30"/>
      <c r="AA93" s="31">
        <f t="shared" si="2"/>
        <v>0</v>
      </c>
      <c r="AB93" s="25"/>
      <c r="AC93" s="25">
        <v>1</v>
      </c>
      <c r="AD93" s="25"/>
      <c r="AE93" s="32"/>
      <c r="AF93" s="25"/>
      <c r="AG93" s="25"/>
      <c r="AH93" s="26"/>
      <c r="AI93" s="28"/>
      <c r="AJ93" s="33"/>
      <c r="AK93" s="32"/>
    </row>
    <row r="94" spans="1:37" x14ac:dyDescent="0.25">
      <c r="A94" s="25" t="s">
        <v>353</v>
      </c>
      <c r="B94" s="25" t="s">
        <v>68</v>
      </c>
      <c r="C94" s="25" t="s">
        <v>68</v>
      </c>
      <c r="D94" s="25" t="s">
        <v>108</v>
      </c>
      <c r="E94" s="25" t="s">
        <v>354</v>
      </c>
      <c r="F94" s="25" t="s">
        <v>151</v>
      </c>
      <c r="G94" s="25">
        <v>8</v>
      </c>
      <c r="H94" s="25" t="s">
        <v>355</v>
      </c>
      <c r="I94" s="25" t="s">
        <v>49</v>
      </c>
      <c r="J94" s="26">
        <v>173</v>
      </c>
      <c r="K94" s="27">
        <f t="shared" si="3"/>
        <v>173</v>
      </c>
      <c r="L94" s="28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30"/>
      <c r="AA94" s="31">
        <f t="shared" si="2"/>
        <v>0</v>
      </c>
      <c r="AB94" s="25"/>
      <c r="AC94" s="25">
        <v>0</v>
      </c>
      <c r="AD94" s="25"/>
      <c r="AE94" s="32"/>
      <c r="AF94" s="25"/>
      <c r="AG94" s="25"/>
      <c r="AH94" s="26"/>
      <c r="AI94" s="28"/>
      <c r="AJ94" s="33"/>
      <c r="AK94" s="32"/>
    </row>
    <row r="95" spans="1:37" ht="30" x14ac:dyDescent="0.25">
      <c r="A95" s="25" t="s">
        <v>356</v>
      </c>
      <c r="B95" s="25" t="s">
        <v>357</v>
      </c>
      <c r="C95" s="25" t="s">
        <v>357</v>
      </c>
      <c r="D95" s="25" t="s">
        <v>358</v>
      </c>
      <c r="E95" s="25" t="s">
        <v>359</v>
      </c>
      <c r="F95" s="25" t="s">
        <v>360</v>
      </c>
      <c r="G95" s="25">
        <v>8</v>
      </c>
      <c r="H95" s="25" t="s">
        <v>361</v>
      </c>
      <c r="I95" s="25" t="s">
        <v>362</v>
      </c>
      <c r="J95" s="26">
        <v>106</v>
      </c>
      <c r="K95" s="27">
        <f t="shared" si="3"/>
        <v>106</v>
      </c>
      <c r="L95" s="28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30"/>
      <c r="AA95" s="31">
        <f t="shared" si="2"/>
        <v>0</v>
      </c>
      <c r="AB95" s="25"/>
      <c r="AC95" s="25">
        <v>1</v>
      </c>
      <c r="AD95" s="25"/>
      <c r="AE95" s="32"/>
      <c r="AF95" s="25"/>
      <c r="AG95" s="25"/>
      <c r="AH95" s="26"/>
      <c r="AI95" s="28"/>
      <c r="AJ95" s="33"/>
      <c r="AK95" s="32"/>
    </row>
    <row r="96" spans="1:37" x14ac:dyDescent="0.25">
      <c r="A96" s="25" t="s">
        <v>363</v>
      </c>
      <c r="B96" s="25" t="s">
        <v>364</v>
      </c>
      <c r="C96" s="25" t="s">
        <v>364</v>
      </c>
      <c r="D96" s="25" t="s">
        <v>45</v>
      </c>
      <c r="E96" s="25" t="s">
        <v>365</v>
      </c>
      <c r="F96" s="25" t="s">
        <v>360</v>
      </c>
      <c r="G96" s="25">
        <v>18</v>
      </c>
      <c r="H96" s="25" t="s">
        <v>366</v>
      </c>
      <c r="I96" s="25" t="s">
        <v>362</v>
      </c>
      <c r="J96" s="26">
        <v>358</v>
      </c>
      <c r="K96" s="27">
        <f t="shared" si="3"/>
        <v>358</v>
      </c>
      <c r="L96" s="28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30"/>
      <c r="AA96" s="31">
        <f t="shared" si="2"/>
        <v>0</v>
      </c>
      <c r="AB96" s="25"/>
      <c r="AC96" s="25">
        <v>5</v>
      </c>
      <c r="AD96" s="25"/>
      <c r="AE96" s="32"/>
      <c r="AF96" s="25"/>
      <c r="AG96" s="25"/>
      <c r="AH96" s="26"/>
      <c r="AI96" s="28"/>
      <c r="AJ96" s="33"/>
      <c r="AK96" s="32"/>
    </row>
    <row r="97" spans="1:37" x14ac:dyDescent="0.25">
      <c r="A97" s="25" t="s">
        <v>367</v>
      </c>
      <c r="B97" s="25" t="s">
        <v>368</v>
      </c>
      <c r="C97" s="25" t="s">
        <v>368</v>
      </c>
      <c r="D97" s="25" t="s">
        <v>369</v>
      </c>
      <c r="E97" s="25" t="s">
        <v>370</v>
      </c>
      <c r="F97" s="25" t="s">
        <v>359</v>
      </c>
      <c r="G97" s="25">
        <v>8</v>
      </c>
      <c r="H97" s="25" t="s">
        <v>366</v>
      </c>
      <c r="I97" s="25" t="s">
        <v>362</v>
      </c>
      <c r="J97" s="26">
        <v>361</v>
      </c>
      <c r="K97" s="27">
        <f t="shared" si="3"/>
        <v>361</v>
      </c>
      <c r="L97" s="28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30"/>
      <c r="AA97" s="31">
        <f t="shared" si="2"/>
        <v>0</v>
      </c>
      <c r="AB97" s="25"/>
      <c r="AC97" s="25">
        <v>7</v>
      </c>
      <c r="AD97" s="25"/>
      <c r="AE97" s="32"/>
      <c r="AF97" s="25"/>
      <c r="AG97" s="25"/>
      <c r="AH97" s="26"/>
      <c r="AI97" s="28"/>
      <c r="AJ97" s="33"/>
      <c r="AK97" s="32"/>
    </row>
    <row r="98" spans="1:37" x14ac:dyDescent="0.25">
      <c r="A98" s="25" t="s">
        <v>371</v>
      </c>
      <c r="B98" s="25" t="s">
        <v>372</v>
      </c>
      <c r="C98" s="25" t="s">
        <v>372</v>
      </c>
      <c r="D98" s="25" t="s">
        <v>45</v>
      </c>
      <c r="E98" s="25" t="s">
        <v>373</v>
      </c>
      <c r="F98" s="25" t="s">
        <v>365</v>
      </c>
      <c r="G98" s="25">
        <v>18</v>
      </c>
      <c r="H98" s="25" t="s">
        <v>366</v>
      </c>
      <c r="I98" s="25" t="s">
        <v>362</v>
      </c>
      <c r="J98" s="26">
        <v>143</v>
      </c>
      <c r="K98" s="27">
        <f t="shared" si="3"/>
        <v>143</v>
      </c>
      <c r="L98" s="28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30"/>
      <c r="AA98" s="31">
        <f t="shared" si="2"/>
        <v>0</v>
      </c>
      <c r="AB98" s="25"/>
      <c r="AC98" s="25">
        <v>2</v>
      </c>
      <c r="AD98" s="25"/>
      <c r="AE98" s="32"/>
      <c r="AF98" s="25"/>
      <c r="AG98" s="25"/>
      <c r="AH98" s="26"/>
      <c r="AI98" s="28"/>
      <c r="AJ98" s="33"/>
      <c r="AK98" s="32"/>
    </row>
    <row r="99" spans="1:37" x14ac:dyDescent="0.25">
      <c r="A99" s="25" t="s">
        <v>374</v>
      </c>
      <c r="B99" s="25" t="s">
        <v>375</v>
      </c>
      <c r="C99" s="25" t="s">
        <v>375</v>
      </c>
      <c r="D99" s="25" t="s">
        <v>45</v>
      </c>
      <c r="E99" s="25" t="s">
        <v>376</v>
      </c>
      <c r="F99" s="25" t="s">
        <v>373</v>
      </c>
      <c r="G99" s="25">
        <v>15</v>
      </c>
      <c r="H99" s="25" t="s">
        <v>366</v>
      </c>
      <c r="I99" s="25" t="s">
        <v>362</v>
      </c>
      <c r="J99" s="26">
        <v>285</v>
      </c>
      <c r="K99" s="27">
        <f t="shared" si="3"/>
        <v>285</v>
      </c>
      <c r="L99" s="28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30"/>
      <c r="AA99" s="31">
        <f t="shared" si="2"/>
        <v>0</v>
      </c>
      <c r="AB99" s="25"/>
      <c r="AC99" s="25">
        <v>3</v>
      </c>
      <c r="AD99" s="25"/>
      <c r="AE99" s="32"/>
      <c r="AF99" s="25"/>
      <c r="AG99" s="25"/>
      <c r="AH99" s="26"/>
      <c r="AI99" s="28"/>
      <c r="AJ99" s="33"/>
      <c r="AK99" s="32"/>
    </row>
    <row r="100" spans="1:37" ht="30" x14ac:dyDescent="0.25">
      <c r="A100" s="25" t="s">
        <v>377</v>
      </c>
      <c r="B100" s="25" t="s">
        <v>378</v>
      </c>
      <c r="C100" s="25" t="s">
        <v>378</v>
      </c>
      <c r="D100" s="25" t="s">
        <v>379</v>
      </c>
      <c r="E100" s="25" t="s">
        <v>380</v>
      </c>
      <c r="F100" s="25" t="s">
        <v>370</v>
      </c>
      <c r="G100" s="25">
        <v>8</v>
      </c>
      <c r="H100" s="25" t="s">
        <v>381</v>
      </c>
      <c r="I100" s="25" t="s">
        <v>362</v>
      </c>
      <c r="J100" s="26">
        <v>339</v>
      </c>
      <c r="K100" s="27">
        <f t="shared" si="3"/>
        <v>339</v>
      </c>
      <c r="L100" s="28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30"/>
      <c r="AA100" s="31">
        <f t="shared" si="2"/>
        <v>0</v>
      </c>
      <c r="AB100" s="25"/>
      <c r="AC100" s="25">
        <v>7</v>
      </c>
      <c r="AD100" s="25"/>
      <c r="AE100" s="32"/>
      <c r="AF100" s="25"/>
      <c r="AG100" s="25"/>
      <c r="AH100" s="26"/>
      <c r="AI100" s="28"/>
      <c r="AJ100" s="33"/>
      <c r="AK100" s="32"/>
    </row>
    <row r="101" spans="1:37" ht="30" x14ac:dyDescent="0.25">
      <c r="A101" s="25" t="s">
        <v>382</v>
      </c>
      <c r="B101" s="25" t="s">
        <v>383</v>
      </c>
      <c r="C101" s="25" t="s">
        <v>383</v>
      </c>
      <c r="D101" s="25" t="s">
        <v>384</v>
      </c>
      <c r="E101" s="25" t="s">
        <v>385</v>
      </c>
      <c r="F101" s="25" t="s">
        <v>380</v>
      </c>
      <c r="G101" s="25">
        <v>8</v>
      </c>
      <c r="H101" s="25" t="s">
        <v>381</v>
      </c>
      <c r="I101" s="25" t="s">
        <v>362</v>
      </c>
      <c r="J101" s="26">
        <v>245</v>
      </c>
      <c r="K101" s="27">
        <f t="shared" si="3"/>
        <v>245</v>
      </c>
      <c r="L101" s="28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30"/>
      <c r="AA101" s="31">
        <f t="shared" si="2"/>
        <v>0</v>
      </c>
      <c r="AB101" s="25"/>
      <c r="AC101" s="25">
        <v>2</v>
      </c>
      <c r="AD101" s="25"/>
      <c r="AE101" s="32"/>
      <c r="AF101" s="25"/>
      <c r="AG101" s="25"/>
      <c r="AH101" s="26"/>
      <c r="AI101" s="28"/>
      <c r="AJ101" s="33"/>
      <c r="AK101" s="32"/>
    </row>
    <row r="102" spans="1:37" x14ac:dyDescent="0.25">
      <c r="A102" s="25" t="s">
        <v>386</v>
      </c>
      <c r="B102" s="25" t="s">
        <v>387</v>
      </c>
      <c r="C102" s="25" t="s">
        <v>387</v>
      </c>
      <c r="D102" s="25" t="s">
        <v>384</v>
      </c>
      <c r="E102" s="25" t="s">
        <v>388</v>
      </c>
      <c r="F102" s="25" t="s">
        <v>385</v>
      </c>
      <c r="G102" s="25">
        <v>8</v>
      </c>
      <c r="H102" s="25" t="s">
        <v>389</v>
      </c>
      <c r="I102" s="25" t="s">
        <v>362</v>
      </c>
      <c r="J102" s="26">
        <v>110</v>
      </c>
      <c r="K102" s="27">
        <f t="shared" si="3"/>
        <v>110</v>
      </c>
      <c r="L102" s="28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30"/>
      <c r="AA102" s="31">
        <f t="shared" si="2"/>
        <v>0</v>
      </c>
      <c r="AB102" s="25"/>
      <c r="AC102" s="25">
        <v>0</v>
      </c>
      <c r="AD102" s="25"/>
      <c r="AE102" s="32"/>
      <c r="AF102" s="25"/>
      <c r="AG102" s="25"/>
      <c r="AH102" s="26"/>
      <c r="AI102" s="28"/>
      <c r="AJ102" s="33"/>
      <c r="AK102" s="32"/>
    </row>
    <row r="103" spans="1:37" ht="30" x14ac:dyDescent="0.25">
      <c r="A103" s="25" t="s">
        <v>390</v>
      </c>
      <c r="B103" s="25" t="s">
        <v>391</v>
      </c>
      <c r="C103" s="25" t="s">
        <v>391</v>
      </c>
      <c r="D103" s="25" t="s">
        <v>384</v>
      </c>
      <c r="E103" s="25" t="s">
        <v>392</v>
      </c>
      <c r="F103" s="25" t="s">
        <v>388</v>
      </c>
      <c r="G103" s="25">
        <v>8</v>
      </c>
      <c r="H103" s="25" t="s">
        <v>389</v>
      </c>
      <c r="I103" s="25" t="s">
        <v>362</v>
      </c>
      <c r="J103" s="26">
        <v>182</v>
      </c>
      <c r="K103" s="27">
        <f t="shared" si="3"/>
        <v>182</v>
      </c>
      <c r="L103" s="28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30"/>
      <c r="AA103" s="31">
        <f t="shared" si="2"/>
        <v>0</v>
      </c>
      <c r="AB103" s="25"/>
      <c r="AC103" s="25">
        <v>4</v>
      </c>
      <c r="AD103" s="25"/>
      <c r="AE103" s="32"/>
      <c r="AF103" s="25"/>
      <c r="AG103" s="25"/>
      <c r="AH103" s="26"/>
      <c r="AI103" s="28"/>
      <c r="AJ103" s="33"/>
      <c r="AK103" s="32"/>
    </row>
    <row r="104" spans="1:37" ht="30" x14ac:dyDescent="0.25">
      <c r="A104" s="25" t="s">
        <v>393</v>
      </c>
      <c r="B104" s="25" t="s">
        <v>394</v>
      </c>
      <c r="C104" s="25" t="s">
        <v>394</v>
      </c>
      <c r="D104" s="25" t="s">
        <v>384</v>
      </c>
      <c r="E104" s="25" t="s">
        <v>395</v>
      </c>
      <c r="F104" s="25" t="s">
        <v>385</v>
      </c>
      <c r="G104" s="25">
        <v>8</v>
      </c>
      <c r="H104" s="25" t="s">
        <v>381</v>
      </c>
      <c r="I104" s="25" t="s">
        <v>362</v>
      </c>
      <c r="J104" s="26">
        <v>393</v>
      </c>
      <c r="K104" s="27">
        <f t="shared" si="3"/>
        <v>393</v>
      </c>
      <c r="L104" s="28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30"/>
      <c r="AA104" s="31">
        <f t="shared" si="2"/>
        <v>0</v>
      </c>
      <c r="AB104" s="25"/>
      <c r="AC104" s="25">
        <v>5</v>
      </c>
      <c r="AD104" s="25"/>
      <c r="AE104" s="32"/>
      <c r="AF104" s="25"/>
      <c r="AG104" s="25"/>
      <c r="AH104" s="26"/>
      <c r="AI104" s="28"/>
      <c r="AJ104" s="33"/>
      <c r="AK104" s="32"/>
    </row>
    <row r="105" spans="1:37" x14ac:dyDescent="0.25">
      <c r="A105" s="25" t="s">
        <v>396</v>
      </c>
      <c r="B105" s="25" t="s">
        <v>397</v>
      </c>
      <c r="C105" s="25" t="s">
        <v>397</v>
      </c>
      <c r="D105" s="25" t="s">
        <v>384</v>
      </c>
      <c r="E105" s="25" t="s">
        <v>398</v>
      </c>
      <c r="F105" s="25" t="s">
        <v>388</v>
      </c>
      <c r="G105" s="25">
        <v>8</v>
      </c>
      <c r="H105" s="25" t="s">
        <v>381</v>
      </c>
      <c r="I105" s="25" t="s">
        <v>362</v>
      </c>
      <c r="J105" s="26">
        <v>325</v>
      </c>
      <c r="K105" s="27">
        <f t="shared" si="3"/>
        <v>325</v>
      </c>
      <c r="L105" s="28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30"/>
      <c r="AA105" s="31">
        <f t="shared" si="2"/>
        <v>0</v>
      </c>
      <c r="AB105" s="25"/>
      <c r="AC105" s="25">
        <v>3</v>
      </c>
      <c r="AD105" s="25"/>
      <c r="AE105" s="32"/>
      <c r="AF105" s="25"/>
      <c r="AG105" s="25"/>
      <c r="AH105" s="26"/>
      <c r="AI105" s="28"/>
      <c r="AJ105" s="33"/>
      <c r="AK105" s="32"/>
    </row>
    <row r="106" spans="1:37" x14ac:dyDescent="0.25">
      <c r="A106" s="25" t="s">
        <v>399</v>
      </c>
      <c r="B106" s="25" t="s">
        <v>368</v>
      </c>
      <c r="C106" s="25" t="s">
        <v>368</v>
      </c>
      <c r="D106" s="25" t="s">
        <v>400</v>
      </c>
      <c r="E106" s="25" t="s">
        <v>401</v>
      </c>
      <c r="F106" s="25" t="s">
        <v>402</v>
      </c>
      <c r="G106" s="25">
        <v>8</v>
      </c>
      <c r="H106" s="25" t="s">
        <v>381</v>
      </c>
      <c r="I106" s="25" t="s">
        <v>362</v>
      </c>
      <c r="J106" s="26">
        <v>152</v>
      </c>
      <c r="K106" s="27">
        <f t="shared" si="3"/>
        <v>152</v>
      </c>
      <c r="L106" s="28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30"/>
      <c r="AA106" s="31">
        <f t="shared" si="2"/>
        <v>0</v>
      </c>
      <c r="AB106" s="25"/>
      <c r="AC106" s="25">
        <v>2</v>
      </c>
      <c r="AD106" s="25"/>
      <c r="AE106" s="32"/>
      <c r="AF106" s="25"/>
      <c r="AG106" s="25"/>
      <c r="AH106" s="26"/>
      <c r="AI106" s="28"/>
      <c r="AJ106" s="33"/>
      <c r="AK106" s="32"/>
    </row>
    <row r="107" spans="1:37" x14ac:dyDescent="0.25">
      <c r="A107" s="25" t="s">
        <v>403</v>
      </c>
      <c r="B107" s="25" t="s">
        <v>404</v>
      </c>
      <c r="C107" s="25" t="s">
        <v>404</v>
      </c>
      <c r="D107" s="25" t="s">
        <v>45</v>
      </c>
      <c r="E107" s="25" t="s">
        <v>405</v>
      </c>
      <c r="F107" s="25" t="s">
        <v>376</v>
      </c>
      <c r="G107" s="25">
        <v>8</v>
      </c>
      <c r="H107" s="25" t="s">
        <v>366</v>
      </c>
      <c r="I107" s="25" t="s">
        <v>362</v>
      </c>
      <c r="J107" s="26">
        <v>113</v>
      </c>
      <c r="K107" s="27">
        <f t="shared" si="3"/>
        <v>113</v>
      </c>
      <c r="L107" s="28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30"/>
      <c r="AA107" s="31">
        <f t="shared" si="2"/>
        <v>0</v>
      </c>
      <c r="AB107" s="25"/>
      <c r="AC107" s="25">
        <v>0</v>
      </c>
      <c r="AD107" s="25"/>
      <c r="AE107" s="32"/>
      <c r="AF107" s="25"/>
      <c r="AG107" s="25"/>
      <c r="AH107" s="26"/>
      <c r="AI107" s="28"/>
      <c r="AJ107" s="33"/>
      <c r="AK107" s="32"/>
    </row>
    <row r="108" spans="1:37" x14ac:dyDescent="0.25">
      <c r="A108" s="25" t="s">
        <v>406</v>
      </c>
      <c r="B108" s="25" t="s">
        <v>407</v>
      </c>
      <c r="C108" s="25" t="s">
        <v>407</v>
      </c>
      <c r="D108" s="25" t="s">
        <v>384</v>
      </c>
      <c r="E108" s="25" t="s">
        <v>408</v>
      </c>
      <c r="F108" s="25" t="s">
        <v>395</v>
      </c>
      <c r="G108" s="25">
        <v>8</v>
      </c>
      <c r="H108" s="25" t="s">
        <v>381</v>
      </c>
      <c r="I108" s="25" t="s">
        <v>362</v>
      </c>
      <c r="J108" s="26">
        <v>268</v>
      </c>
      <c r="K108" s="27">
        <f t="shared" si="3"/>
        <v>268</v>
      </c>
      <c r="L108" s="28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30"/>
      <c r="AA108" s="31">
        <f t="shared" si="2"/>
        <v>0</v>
      </c>
      <c r="AB108" s="25"/>
      <c r="AC108" s="25">
        <v>4</v>
      </c>
      <c r="AD108" s="25"/>
      <c r="AE108" s="32"/>
      <c r="AF108" s="25"/>
      <c r="AG108" s="25"/>
      <c r="AH108" s="26"/>
      <c r="AI108" s="28"/>
      <c r="AJ108" s="33"/>
      <c r="AK108" s="32"/>
    </row>
    <row r="109" spans="1:37" x14ac:dyDescent="0.25">
      <c r="A109" s="25" t="s">
        <v>409</v>
      </c>
      <c r="B109" s="25" t="s">
        <v>410</v>
      </c>
      <c r="C109" s="25" t="s">
        <v>410</v>
      </c>
      <c r="D109" s="25" t="s">
        <v>58</v>
      </c>
      <c r="E109" s="25" t="s">
        <v>411</v>
      </c>
      <c r="F109" s="25" t="s">
        <v>392</v>
      </c>
      <c r="G109" s="25">
        <v>8</v>
      </c>
      <c r="H109" s="25" t="s">
        <v>389</v>
      </c>
      <c r="I109" s="25" t="s">
        <v>362</v>
      </c>
      <c r="J109" s="26">
        <v>201</v>
      </c>
      <c r="K109" s="27">
        <f t="shared" si="3"/>
        <v>201</v>
      </c>
      <c r="L109" s="28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30"/>
      <c r="AA109" s="31">
        <f t="shared" si="2"/>
        <v>0</v>
      </c>
      <c r="AB109" s="25"/>
      <c r="AC109" s="25">
        <v>0</v>
      </c>
      <c r="AD109" s="25"/>
      <c r="AE109" s="32"/>
      <c r="AF109" s="25"/>
      <c r="AG109" s="25"/>
      <c r="AH109" s="26"/>
      <c r="AI109" s="28"/>
      <c r="AJ109" s="33"/>
      <c r="AK109" s="32"/>
    </row>
    <row r="110" spans="1:37" ht="30" x14ac:dyDescent="0.25">
      <c r="A110" s="25" t="s">
        <v>412</v>
      </c>
      <c r="B110" s="25" t="s">
        <v>413</v>
      </c>
      <c r="C110" s="25" t="s">
        <v>413</v>
      </c>
      <c r="D110" s="25" t="s">
        <v>58</v>
      </c>
      <c r="E110" s="25" t="s">
        <v>414</v>
      </c>
      <c r="F110" s="25" t="s">
        <v>411</v>
      </c>
      <c r="G110" s="25">
        <v>8</v>
      </c>
      <c r="H110" s="25" t="s">
        <v>389</v>
      </c>
      <c r="I110" s="25" t="s">
        <v>362</v>
      </c>
      <c r="J110" s="26">
        <v>164</v>
      </c>
      <c r="K110" s="27">
        <f t="shared" si="3"/>
        <v>164</v>
      </c>
      <c r="L110" s="28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30"/>
      <c r="AA110" s="31">
        <f t="shared" si="2"/>
        <v>0</v>
      </c>
      <c r="AB110" s="25"/>
      <c r="AC110" s="25">
        <v>4</v>
      </c>
      <c r="AD110" s="25"/>
      <c r="AE110" s="32"/>
      <c r="AF110" s="25"/>
      <c r="AG110" s="25"/>
      <c r="AH110" s="26"/>
      <c r="AI110" s="28"/>
      <c r="AJ110" s="33"/>
      <c r="AK110" s="32"/>
    </row>
    <row r="111" spans="1:37" ht="30" x14ac:dyDescent="0.25">
      <c r="A111" s="25" t="s">
        <v>415</v>
      </c>
      <c r="B111" s="25" t="s">
        <v>416</v>
      </c>
      <c r="C111" s="25" t="s">
        <v>416</v>
      </c>
      <c r="D111" s="25" t="s">
        <v>384</v>
      </c>
      <c r="E111" s="25" t="s">
        <v>417</v>
      </c>
      <c r="F111" s="25" t="s">
        <v>408</v>
      </c>
      <c r="G111" s="25">
        <v>8</v>
      </c>
      <c r="H111" s="25" t="s">
        <v>381</v>
      </c>
      <c r="I111" s="25" t="s">
        <v>362</v>
      </c>
      <c r="J111" s="26">
        <v>191</v>
      </c>
      <c r="K111" s="27">
        <f t="shared" si="3"/>
        <v>191</v>
      </c>
      <c r="L111" s="28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30"/>
      <c r="AA111" s="31">
        <f t="shared" si="2"/>
        <v>0</v>
      </c>
      <c r="AB111" s="25"/>
      <c r="AC111" s="25">
        <v>4</v>
      </c>
      <c r="AD111" s="25"/>
      <c r="AE111" s="32"/>
      <c r="AF111" s="25"/>
      <c r="AG111" s="25"/>
      <c r="AH111" s="26"/>
      <c r="AI111" s="28"/>
      <c r="AJ111" s="33"/>
      <c r="AK111" s="32"/>
    </row>
    <row r="112" spans="1:37" ht="30" x14ac:dyDescent="0.25">
      <c r="A112" s="25" t="s">
        <v>418</v>
      </c>
      <c r="B112" s="25" t="s">
        <v>419</v>
      </c>
      <c r="C112" s="25" t="s">
        <v>419</v>
      </c>
      <c r="D112" s="25" t="s">
        <v>58</v>
      </c>
      <c r="E112" s="25" t="s">
        <v>420</v>
      </c>
      <c r="F112" s="25" t="s">
        <v>421</v>
      </c>
      <c r="G112" s="25">
        <v>8</v>
      </c>
      <c r="H112" s="25" t="s">
        <v>422</v>
      </c>
      <c r="I112" s="25" t="s">
        <v>423</v>
      </c>
      <c r="J112" s="26">
        <v>239</v>
      </c>
      <c r="K112" s="27">
        <f t="shared" si="3"/>
        <v>239</v>
      </c>
      <c r="L112" s="28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30"/>
      <c r="AA112" s="31">
        <f t="shared" si="2"/>
        <v>0</v>
      </c>
      <c r="AB112" s="25"/>
      <c r="AC112" s="25">
        <v>4</v>
      </c>
      <c r="AD112" s="25"/>
      <c r="AE112" s="32"/>
      <c r="AF112" s="25"/>
      <c r="AG112" s="25"/>
      <c r="AH112" s="26"/>
      <c r="AI112" s="28"/>
      <c r="AJ112" s="33"/>
      <c r="AK112" s="32"/>
    </row>
    <row r="113" spans="1:37" x14ac:dyDescent="0.25">
      <c r="A113" s="25" t="s">
        <v>424</v>
      </c>
      <c r="B113" s="25" t="s">
        <v>425</v>
      </c>
      <c r="C113" s="25" t="s">
        <v>425</v>
      </c>
      <c r="D113" s="25" t="s">
        <v>58</v>
      </c>
      <c r="E113" s="25" t="s">
        <v>426</v>
      </c>
      <c r="F113" s="25" t="s">
        <v>427</v>
      </c>
      <c r="G113" s="25">
        <v>8</v>
      </c>
      <c r="H113" s="25" t="s">
        <v>428</v>
      </c>
      <c r="I113" s="25" t="s">
        <v>429</v>
      </c>
      <c r="J113" s="26">
        <v>61</v>
      </c>
      <c r="K113" s="27">
        <f t="shared" si="3"/>
        <v>61</v>
      </c>
      <c r="L113" s="28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30"/>
      <c r="AA113" s="31">
        <f t="shared" si="2"/>
        <v>0</v>
      </c>
      <c r="AB113" s="25"/>
      <c r="AC113" s="25">
        <v>0</v>
      </c>
      <c r="AD113" s="25"/>
      <c r="AE113" s="32"/>
      <c r="AF113" s="25"/>
      <c r="AG113" s="25"/>
      <c r="AH113" s="26"/>
      <c r="AI113" s="28"/>
      <c r="AJ113" s="33"/>
      <c r="AK113" s="32"/>
    </row>
    <row r="114" spans="1:37" x14ac:dyDescent="0.25">
      <c r="A114" s="25" t="s">
        <v>430</v>
      </c>
      <c r="B114" s="25" t="s">
        <v>431</v>
      </c>
      <c r="C114" s="25" t="s">
        <v>431</v>
      </c>
      <c r="D114" s="25" t="s">
        <v>118</v>
      </c>
      <c r="E114" s="25" t="s">
        <v>432</v>
      </c>
      <c r="F114" s="25" t="s">
        <v>426</v>
      </c>
      <c r="G114" s="25">
        <v>8</v>
      </c>
      <c r="H114" s="25" t="s">
        <v>428</v>
      </c>
      <c r="I114" s="25" t="s">
        <v>429</v>
      </c>
      <c r="J114" s="26">
        <v>141</v>
      </c>
      <c r="K114" s="27">
        <f t="shared" si="3"/>
        <v>141</v>
      </c>
      <c r="L114" s="28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30"/>
      <c r="AA114" s="31">
        <f t="shared" si="2"/>
        <v>0</v>
      </c>
      <c r="AB114" s="25"/>
      <c r="AC114" s="25">
        <v>1</v>
      </c>
      <c r="AD114" s="25"/>
      <c r="AE114" s="32"/>
      <c r="AF114" s="25"/>
      <c r="AG114" s="25"/>
      <c r="AH114" s="26"/>
      <c r="AI114" s="28"/>
      <c r="AJ114" s="33"/>
      <c r="AK114" s="32"/>
    </row>
    <row r="115" spans="1:37" x14ac:dyDescent="0.25">
      <c r="A115" s="25" t="s">
        <v>433</v>
      </c>
      <c r="B115" s="25" t="s">
        <v>357</v>
      </c>
      <c r="C115" s="25" t="s">
        <v>357</v>
      </c>
      <c r="D115" s="25" t="s">
        <v>58</v>
      </c>
      <c r="E115" s="25" t="s">
        <v>434</v>
      </c>
      <c r="F115" s="25" t="s">
        <v>432</v>
      </c>
      <c r="G115" s="25">
        <v>8</v>
      </c>
      <c r="H115" s="25" t="s">
        <v>428</v>
      </c>
      <c r="I115" s="25" t="s">
        <v>429</v>
      </c>
      <c r="J115" s="26">
        <v>136</v>
      </c>
      <c r="K115" s="27">
        <f t="shared" si="3"/>
        <v>136</v>
      </c>
      <c r="L115" s="28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30"/>
      <c r="AA115" s="31">
        <f t="shared" si="2"/>
        <v>0</v>
      </c>
      <c r="AB115" s="25"/>
      <c r="AC115" s="25">
        <v>1</v>
      </c>
      <c r="AD115" s="25"/>
      <c r="AE115" s="32"/>
      <c r="AF115" s="25"/>
      <c r="AG115" s="25"/>
      <c r="AH115" s="26"/>
      <c r="AI115" s="28"/>
      <c r="AJ115" s="33"/>
      <c r="AK115" s="32"/>
    </row>
    <row r="116" spans="1:37" x14ac:dyDescent="0.25">
      <c r="A116" s="25" t="s">
        <v>435</v>
      </c>
      <c r="B116" s="25" t="s">
        <v>431</v>
      </c>
      <c r="C116" s="25" t="s">
        <v>431</v>
      </c>
      <c r="D116" s="25" t="s">
        <v>118</v>
      </c>
      <c r="E116" s="25" t="s">
        <v>436</v>
      </c>
      <c r="F116" s="25" t="s">
        <v>434</v>
      </c>
      <c r="G116" s="25">
        <v>8</v>
      </c>
      <c r="H116" s="25" t="s">
        <v>428</v>
      </c>
      <c r="I116" s="25" t="s">
        <v>429</v>
      </c>
      <c r="J116" s="26">
        <v>128</v>
      </c>
      <c r="K116" s="27">
        <f t="shared" si="3"/>
        <v>128</v>
      </c>
      <c r="L116" s="28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30"/>
      <c r="AA116" s="31">
        <f t="shared" si="2"/>
        <v>0</v>
      </c>
      <c r="AB116" s="25"/>
      <c r="AC116" s="25">
        <v>1</v>
      </c>
      <c r="AD116" s="25"/>
      <c r="AE116" s="32"/>
      <c r="AF116" s="25"/>
      <c r="AG116" s="25"/>
      <c r="AH116" s="26"/>
      <c r="AI116" s="28"/>
      <c r="AJ116" s="33"/>
      <c r="AK116" s="32"/>
    </row>
    <row r="117" spans="1:37" x14ac:dyDescent="0.25">
      <c r="A117" s="25" t="s">
        <v>437</v>
      </c>
      <c r="B117" s="25" t="s">
        <v>368</v>
      </c>
      <c r="C117" s="25" t="s">
        <v>368</v>
      </c>
      <c r="D117" s="25" t="s">
        <v>58</v>
      </c>
      <c r="E117" s="25" t="s">
        <v>438</v>
      </c>
      <c r="F117" s="25" t="s">
        <v>436</v>
      </c>
      <c r="G117" s="25">
        <v>8</v>
      </c>
      <c r="H117" s="25" t="s">
        <v>428</v>
      </c>
      <c r="I117" s="25" t="s">
        <v>429</v>
      </c>
      <c r="J117" s="26">
        <v>166</v>
      </c>
      <c r="K117" s="27">
        <f t="shared" si="3"/>
        <v>166</v>
      </c>
      <c r="L117" s="28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30"/>
      <c r="AA117" s="31">
        <f t="shared" si="2"/>
        <v>0</v>
      </c>
      <c r="AB117" s="25"/>
      <c r="AC117" s="25">
        <v>2</v>
      </c>
      <c r="AD117" s="25"/>
      <c r="AE117" s="32"/>
      <c r="AF117" s="25"/>
      <c r="AG117" s="25"/>
      <c r="AH117" s="26"/>
      <c r="AI117" s="28"/>
      <c r="AJ117" s="33"/>
      <c r="AK117" s="32"/>
    </row>
    <row r="118" spans="1:37" x14ac:dyDescent="0.25">
      <c r="A118" s="25" t="s">
        <v>439</v>
      </c>
      <c r="B118" s="25" t="s">
        <v>440</v>
      </c>
      <c r="C118" s="25" t="s">
        <v>440</v>
      </c>
      <c r="D118" s="25" t="s">
        <v>58</v>
      </c>
      <c r="E118" s="25" t="s">
        <v>441</v>
      </c>
      <c r="F118" s="25" t="s">
        <v>438</v>
      </c>
      <c r="G118" s="25">
        <v>8</v>
      </c>
      <c r="H118" s="25" t="s">
        <v>428</v>
      </c>
      <c r="I118" s="25" t="s">
        <v>429</v>
      </c>
      <c r="J118" s="26">
        <v>75</v>
      </c>
      <c r="K118" s="27">
        <f t="shared" si="3"/>
        <v>75</v>
      </c>
      <c r="L118" s="28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30"/>
      <c r="AA118" s="31">
        <f t="shared" si="2"/>
        <v>0</v>
      </c>
      <c r="AB118" s="25"/>
      <c r="AC118" s="25">
        <v>1</v>
      </c>
      <c r="AD118" s="25"/>
      <c r="AE118" s="32"/>
      <c r="AF118" s="25"/>
      <c r="AG118" s="25"/>
      <c r="AH118" s="26"/>
      <c r="AI118" s="28"/>
      <c r="AJ118" s="33"/>
      <c r="AK118" s="32"/>
    </row>
    <row r="119" spans="1:37" x14ac:dyDescent="0.25">
      <c r="A119" s="25" t="s">
        <v>442</v>
      </c>
      <c r="B119" s="25" t="s">
        <v>440</v>
      </c>
      <c r="C119" s="25" t="s">
        <v>440</v>
      </c>
      <c r="D119" s="25" t="s">
        <v>58</v>
      </c>
      <c r="E119" s="25" t="s">
        <v>443</v>
      </c>
      <c r="F119" s="25" t="s">
        <v>444</v>
      </c>
      <c r="G119" s="25">
        <v>8</v>
      </c>
      <c r="H119" s="25" t="s">
        <v>428</v>
      </c>
      <c r="I119" s="25" t="s">
        <v>429</v>
      </c>
      <c r="J119" s="26">
        <v>57</v>
      </c>
      <c r="K119" s="27">
        <f t="shared" si="3"/>
        <v>57</v>
      </c>
      <c r="L119" s="28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30"/>
      <c r="AA119" s="31">
        <f t="shared" si="2"/>
        <v>0</v>
      </c>
      <c r="AB119" s="25"/>
      <c r="AC119" s="25">
        <v>1</v>
      </c>
      <c r="AD119" s="25"/>
      <c r="AE119" s="32"/>
      <c r="AF119" s="25"/>
      <c r="AG119" s="25"/>
      <c r="AH119" s="26"/>
      <c r="AI119" s="28"/>
      <c r="AJ119" s="33"/>
      <c r="AK119" s="32"/>
    </row>
    <row r="120" spans="1:37" ht="30" x14ac:dyDescent="0.25">
      <c r="A120" s="25" t="s">
        <v>445</v>
      </c>
      <c r="B120" s="25" t="s">
        <v>45</v>
      </c>
      <c r="C120" s="25" t="s">
        <v>45</v>
      </c>
      <c r="D120" s="25" t="s">
        <v>379</v>
      </c>
      <c r="E120" s="25" t="s">
        <v>446</v>
      </c>
      <c r="F120" s="25" t="s">
        <v>447</v>
      </c>
      <c r="G120" s="25">
        <v>12</v>
      </c>
      <c r="H120" s="25" t="s">
        <v>448</v>
      </c>
      <c r="I120" s="25" t="s">
        <v>449</v>
      </c>
      <c r="J120" s="26">
        <v>60</v>
      </c>
      <c r="K120" s="27">
        <f t="shared" si="3"/>
        <v>60</v>
      </c>
      <c r="L120" s="28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30"/>
      <c r="AA120" s="31">
        <f t="shared" si="2"/>
        <v>0</v>
      </c>
      <c r="AB120" s="25"/>
      <c r="AC120" s="25">
        <v>0</v>
      </c>
      <c r="AD120" s="25"/>
      <c r="AE120" s="32"/>
      <c r="AF120" s="25"/>
      <c r="AG120" s="25"/>
      <c r="AH120" s="26"/>
      <c r="AI120" s="28"/>
      <c r="AJ120" s="33"/>
      <c r="AK120" s="32"/>
    </row>
    <row r="121" spans="1:37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6"/>
      <c r="K121" s="27">
        <f t="shared" si="3"/>
        <v>0</v>
      </c>
      <c r="L121" s="28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30"/>
      <c r="AA121" s="31">
        <f t="shared" si="2"/>
        <v>0</v>
      </c>
      <c r="AB121" s="25"/>
      <c r="AC121" s="25"/>
      <c r="AD121" s="25"/>
      <c r="AE121" s="32"/>
      <c r="AF121" s="25"/>
      <c r="AG121" s="25"/>
      <c r="AH121" s="26"/>
      <c r="AI121" s="28"/>
      <c r="AJ121" s="33"/>
      <c r="AK121" s="32"/>
    </row>
    <row r="122" spans="1:37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6"/>
      <c r="K122" s="27">
        <f t="shared" si="3"/>
        <v>0</v>
      </c>
      <c r="L122" s="28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30"/>
      <c r="AA122" s="31">
        <f t="shared" si="2"/>
        <v>0</v>
      </c>
      <c r="AB122" s="25"/>
      <c r="AC122" s="25"/>
      <c r="AD122" s="25"/>
      <c r="AE122" s="32"/>
      <c r="AF122" s="25"/>
      <c r="AG122" s="25"/>
      <c r="AH122" s="26"/>
      <c r="AI122" s="28"/>
      <c r="AJ122" s="33"/>
      <c r="AK122" s="32"/>
    </row>
    <row r="123" spans="1:37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6"/>
      <c r="K123" s="27">
        <f t="shared" si="3"/>
        <v>0</v>
      </c>
      <c r="L123" s="28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30"/>
      <c r="AA123" s="31">
        <f t="shared" si="2"/>
        <v>0</v>
      </c>
      <c r="AB123" s="25"/>
      <c r="AC123" s="25"/>
      <c r="AD123" s="25"/>
      <c r="AE123" s="32"/>
      <c r="AF123" s="25"/>
      <c r="AG123" s="25"/>
      <c r="AH123" s="26"/>
      <c r="AI123" s="28"/>
      <c r="AJ123" s="33"/>
      <c r="AK123" s="32"/>
    </row>
    <row r="124" spans="1:37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6"/>
      <c r="K124" s="27">
        <f t="shared" si="3"/>
        <v>0</v>
      </c>
      <c r="L124" s="28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30"/>
      <c r="AA124" s="31">
        <f t="shared" si="2"/>
        <v>0</v>
      </c>
      <c r="AB124" s="25"/>
      <c r="AC124" s="25"/>
      <c r="AD124" s="25"/>
      <c r="AE124" s="32"/>
      <c r="AF124" s="25"/>
      <c r="AG124" s="25"/>
      <c r="AH124" s="26"/>
      <c r="AI124" s="28"/>
      <c r="AJ124" s="33"/>
      <c r="AK124" s="32"/>
    </row>
    <row r="125" spans="1:37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6"/>
      <c r="K125" s="27">
        <f t="shared" si="3"/>
        <v>0</v>
      </c>
      <c r="L125" s="28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30"/>
      <c r="AA125" s="31">
        <f t="shared" si="2"/>
        <v>0</v>
      </c>
      <c r="AB125" s="25"/>
      <c r="AC125" s="25"/>
      <c r="AD125" s="25"/>
      <c r="AE125" s="32"/>
      <c r="AF125" s="25"/>
      <c r="AG125" s="25"/>
      <c r="AH125" s="26"/>
      <c r="AI125" s="28"/>
      <c r="AJ125" s="33"/>
      <c r="AK125" s="32"/>
    </row>
    <row r="126" spans="1:37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6"/>
      <c r="K126" s="27">
        <f t="shared" si="3"/>
        <v>0</v>
      </c>
      <c r="L126" s="28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30"/>
      <c r="AA126" s="31">
        <f t="shared" si="2"/>
        <v>0</v>
      </c>
      <c r="AB126" s="25"/>
      <c r="AC126" s="25"/>
      <c r="AD126" s="25"/>
      <c r="AE126" s="32"/>
      <c r="AF126" s="25"/>
      <c r="AG126" s="25"/>
      <c r="AH126" s="26"/>
      <c r="AI126" s="28"/>
      <c r="AJ126" s="33"/>
      <c r="AK126" s="32"/>
    </row>
    <row r="127" spans="1:37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6"/>
      <c r="K127" s="27">
        <f t="shared" si="3"/>
        <v>0</v>
      </c>
      <c r="L127" s="28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30"/>
      <c r="AA127" s="31">
        <f t="shared" si="2"/>
        <v>0</v>
      </c>
      <c r="AB127" s="25"/>
      <c r="AC127" s="25"/>
      <c r="AD127" s="25"/>
      <c r="AE127" s="32"/>
      <c r="AF127" s="25"/>
      <c r="AG127" s="25"/>
      <c r="AH127" s="26"/>
      <c r="AI127" s="28"/>
      <c r="AJ127" s="33"/>
      <c r="AK127" s="32"/>
    </row>
    <row r="128" spans="1:37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6"/>
      <c r="K128" s="27">
        <f t="shared" si="3"/>
        <v>0</v>
      </c>
      <c r="L128" s="28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30"/>
      <c r="AA128" s="31">
        <f t="shared" si="2"/>
        <v>0</v>
      </c>
      <c r="AB128" s="25"/>
      <c r="AC128" s="25"/>
      <c r="AD128" s="25"/>
      <c r="AE128" s="32"/>
      <c r="AF128" s="25"/>
      <c r="AG128" s="25"/>
      <c r="AH128" s="26"/>
      <c r="AI128" s="28"/>
      <c r="AJ128" s="33"/>
      <c r="AK128" s="32"/>
    </row>
    <row r="129" spans="1:37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6"/>
      <c r="K129" s="27">
        <f t="shared" si="3"/>
        <v>0</v>
      </c>
      <c r="L129" s="28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30"/>
      <c r="AA129" s="31">
        <f t="shared" si="2"/>
        <v>0</v>
      </c>
      <c r="AB129" s="25"/>
      <c r="AC129" s="25"/>
      <c r="AD129" s="25"/>
      <c r="AE129" s="32"/>
      <c r="AF129" s="25"/>
      <c r="AG129" s="25"/>
      <c r="AH129" s="26"/>
      <c r="AI129" s="28"/>
      <c r="AJ129" s="33"/>
      <c r="AK129" s="32"/>
    </row>
    <row r="130" spans="1:37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6"/>
      <c r="K130" s="27">
        <f t="shared" si="3"/>
        <v>0</v>
      </c>
      <c r="L130" s="28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30"/>
      <c r="AA130" s="31">
        <f t="shared" si="2"/>
        <v>0</v>
      </c>
      <c r="AB130" s="25"/>
      <c r="AC130" s="25"/>
      <c r="AD130" s="25"/>
      <c r="AE130" s="32"/>
      <c r="AF130" s="25"/>
      <c r="AG130" s="25"/>
      <c r="AH130" s="26"/>
      <c r="AI130" s="28"/>
      <c r="AJ130" s="33"/>
      <c r="AK130" s="32"/>
    </row>
  </sheetData>
  <autoFilter ref="A3:AK130" xr:uid="{89A96205-DEEF-4474-B2D9-62EAA9C62843}"/>
  <mergeCells count="6">
    <mergeCell ref="A1:AK1"/>
    <mergeCell ref="A2:K2"/>
    <mergeCell ref="L2:Y2"/>
    <mergeCell ref="Z2:AD2"/>
    <mergeCell ref="AE2:AH2"/>
    <mergeCell ref="AI2:AJ2"/>
  </mergeCells>
  <dataValidations count="4">
    <dataValidation type="list" allowBlank="1" showInputMessage="1" showErrorMessage="1" sqref="AD1:AD1048576" xr:uid="{C9D0A776-5C15-4E5B-B54D-A68E3B23EC70}">
      <formula1>"Yes, No"</formula1>
    </dataValidation>
    <dataValidation type="list" allowBlank="1" showInputMessage="1" showErrorMessage="1" sqref="M1:M1048576" xr:uid="{06820A71-C62F-4407-A252-75303DCA5A14}">
      <formula1>"Downstream, Upstream"</formula1>
    </dataValidation>
    <dataValidation type="list" allowBlank="1" showInputMessage="1" showErrorMessage="1" sqref="AH1:AH1048576" xr:uid="{CEBC0AFB-7D1D-4FD3-9753-28B6BCA55C19}">
      <formula1>"Pass, Fail"</formula1>
    </dataValidation>
    <dataValidation type="list" allowBlank="1" showInputMessage="1" showErrorMessage="1" sqref="AE1:AE1048576" xr:uid="{964CBBD6-30DC-48EF-92A0-8799B090DC15}">
      <formula1>"Yes, No, Exempt"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Gibbs</dc:creator>
  <cp:lastModifiedBy>Patrick Gibbs</cp:lastModifiedBy>
  <dcterms:created xsi:type="dcterms:W3CDTF">2026-04-06T20:05:36Z</dcterms:created>
  <dcterms:modified xsi:type="dcterms:W3CDTF">2026-04-06T20:06:24Z</dcterms:modified>
</cp:coreProperties>
</file>