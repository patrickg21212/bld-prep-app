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egion-my.sharepoint.com/personal/pgibbs_azuria_com/Documents/Desktop/Hopedale/"/>
    </mc:Choice>
  </mc:AlternateContent>
  <xr:revisionPtr revIDLastSave="402" documentId="8_{9BEC4C17-8522-41A8-B4CE-21AA2831D0D6}" xr6:coauthVersionLast="47" xr6:coauthVersionMax="47" xr10:uidLastSave="{D4A538E1-417D-4895-BB25-57B7C5FED4A3}"/>
  <bookViews>
    <workbookView xWindow="-19320" yWindow="-180" windowWidth="19440" windowHeight="15000" activeTab="1" xr2:uid="{A19DFD64-8889-49BC-96EB-A43B8AD2546C}"/>
  </bookViews>
  <sheets>
    <sheet name="4-11-2026" sheetId="9" r:id="rId1"/>
    <sheet name="Mainline" sheetId="1" r:id="rId2"/>
    <sheet name="4-4-2026" sheetId="8" r:id="rId3"/>
    <sheet name="Services" sheetId="2" r:id="rId4"/>
    <sheet name="Manholes" sheetId="4" r:id="rId5"/>
    <sheet name="Hard Surface Restoration" sheetId="5" r:id="rId6"/>
    <sheet name="Point Repairs" sheetId="6" r:id="rId7"/>
    <sheet name="Misc Bid Items" sheetId="7" r:id="rId8"/>
    <sheet name="Lists" sheetId="3" r:id="rId9"/>
  </sheets>
  <externalReferences>
    <externalReference r:id="rId10"/>
    <externalReference r:id="rId11"/>
  </externalReferences>
  <definedNames>
    <definedName name="_xlnm._FilterDatabase" localSheetId="1" hidden="1">Mainline!$A$3:$AK$130</definedName>
    <definedName name="_xlnm._FilterDatabase" localSheetId="4" hidden="1">Manholes!$A$3:$AB$113</definedName>
    <definedName name="_xlnm._FilterDatabase" localSheetId="3" hidden="1">Services!$A$3:$AF$200</definedName>
    <definedName name="_Key1" hidden="1">#REF!</definedName>
    <definedName name="_Order1" hidden="1">255</definedName>
    <definedName name="_Regression_X" hidden="1">#REF!</definedName>
    <definedName name="_Regression_Y" hidden="1">#REF!</definedName>
    <definedName name="_Sort" hidden="1">#REF!</definedName>
    <definedName name="AccessDatabase" hidden="1">"C:\TEMP\insituform\insitufo1.mdb"</definedName>
    <definedName name="Bid_List" localSheetId="0">#REF!</definedName>
    <definedName name="Bid_List" localSheetId="2">#REF!</definedName>
    <definedName name="Bid_List">[1]Lists!$D$3:$D$75</definedName>
    <definedName name="CWN_List">[2]Lists!$B$3:$B$12</definedName>
    <definedName name="_xlnm.Database">#REF!</definedName>
    <definedName name="_xlnm.Print_Area" localSheetId="0">'4-11-2026'!$B$1:$R$51</definedName>
    <definedName name="_xlnm.Print_Area" localSheetId="2">'4-4-2026'!$B$1:$R$39</definedName>
    <definedName name="_xlnm.Print_Titles" localSheetId="0">'4-11-2026'!$1:$8</definedName>
    <definedName name="_xlnm.Print_Titles" localSheetId="2">'4-4-2026'!$1:$8</definedName>
    <definedName name="Status">#REF!</definedName>
    <definedName name="wrn.Bid._.Review." hidden="1">{#N/A,#N/A,FALSE,"BidReview";"BidReview",#N/A,FALSE,"BidTab"}</definedName>
    <definedName name="wrn.JD._.Edwards." hidden="1">{#N/A,#N/A,FALSE,"JD Edwards"}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27" i="9" l="1"/>
  <c r="Q26" i="9"/>
  <c r="Q25" i="9"/>
  <c r="Q24" i="9"/>
  <c r="Q23" i="9"/>
  <c r="Q22" i="9"/>
  <c r="Q21" i="9"/>
  <c r="Q20" i="9"/>
  <c r="Q31" i="9"/>
  <c r="Q30" i="9"/>
  <c r="Q29" i="9"/>
  <c r="Q28" i="9"/>
  <c r="Q33" i="9"/>
  <c r="Q32" i="9"/>
  <c r="Q35" i="9"/>
  <c r="Q34" i="9"/>
  <c r="AF44" i="9"/>
  <c r="AD44" i="9"/>
  <c r="AB44" i="9"/>
  <c r="Q43" i="9"/>
  <c r="Q42" i="9"/>
  <c r="F42" i="9"/>
  <c r="Q41" i="9"/>
  <c r="Q40" i="9"/>
  <c r="Q38" i="9"/>
  <c r="F38" i="9"/>
  <c r="Q18" i="9"/>
  <c r="Q17" i="9"/>
  <c r="Q16" i="9"/>
  <c r="Q15" i="9"/>
  <c r="Q14" i="9"/>
  <c r="Q13" i="9"/>
  <c r="Q39" i="9"/>
  <c r="Q12" i="9"/>
  <c r="Q11" i="9"/>
  <c r="Q37" i="9"/>
  <c r="F37" i="9"/>
  <c r="Q36" i="9"/>
  <c r="F36" i="9"/>
  <c r="Q19" i="9"/>
  <c r="F19" i="9"/>
  <c r="F10" i="9"/>
  <c r="F9" i="9"/>
  <c r="Q16" i="8"/>
  <c r="Q14" i="8"/>
  <c r="Q20" i="8"/>
  <c r="Q19" i="8"/>
  <c r="Q18" i="8"/>
  <c r="Q17" i="8"/>
  <c r="Q15" i="8"/>
  <c r="Q25" i="8"/>
  <c r="Q24" i="8"/>
  <c r="Q22" i="8"/>
  <c r="Q21" i="8"/>
  <c r="Q27" i="8"/>
  <c r="Q26" i="8"/>
  <c r="AF32" i="8"/>
  <c r="AD32" i="8"/>
  <c r="AB32" i="8"/>
  <c r="Q31" i="8"/>
  <c r="Q30" i="8"/>
  <c r="F30" i="8"/>
  <c r="Q29" i="8"/>
  <c r="Q28" i="8"/>
  <c r="Q23" i="8"/>
  <c r="F23" i="8"/>
  <c r="Q13" i="8"/>
  <c r="F13" i="8"/>
  <c r="Q12" i="8"/>
  <c r="F12" i="8"/>
  <c r="Q11" i="8"/>
  <c r="F11" i="8"/>
  <c r="Q10" i="8"/>
  <c r="F10" i="8"/>
  <c r="Q9" i="8"/>
  <c r="F9" i="8"/>
  <c r="Q44" i="9" l="1"/>
  <c r="Q32" i="8"/>
  <c r="R4" i="2" l="1"/>
  <c r="H151" i="4" l="1"/>
  <c r="K151" i="4"/>
  <c r="H152" i="4"/>
  <c r="K152" i="4"/>
  <c r="H153" i="4"/>
  <c r="K153" i="4"/>
  <c r="H154" i="4"/>
  <c r="K154" i="4"/>
  <c r="H155" i="4"/>
  <c r="K155" i="4"/>
  <c r="H126" i="4"/>
  <c r="K126" i="4"/>
  <c r="H127" i="4"/>
  <c r="K127" i="4"/>
  <c r="H128" i="4"/>
  <c r="K128" i="4"/>
  <c r="H129" i="4"/>
  <c r="K129" i="4"/>
  <c r="H130" i="4"/>
  <c r="K130" i="4"/>
  <c r="H131" i="4"/>
  <c r="K131" i="4"/>
  <c r="H132" i="4"/>
  <c r="K132" i="4"/>
  <c r="H133" i="4"/>
  <c r="K133" i="4"/>
  <c r="H134" i="4"/>
  <c r="K134" i="4"/>
  <c r="H135" i="4"/>
  <c r="K135" i="4"/>
  <c r="H136" i="4"/>
  <c r="K136" i="4"/>
  <c r="H137" i="4"/>
  <c r="K137" i="4"/>
  <c r="H138" i="4"/>
  <c r="K138" i="4"/>
  <c r="H139" i="4"/>
  <c r="K139" i="4"/>
  <c r="H140" i="4"/>
  <c r="K140" i="4"/>
  <c r="H141" i="4"/>
  <c r="K141" i="4"/>
  <c r="H142" i="4"/>
  <c r="K142" i="4"/>
  <c r="H143" i="4"/>
  <c r="K143" i="4"/>
  <c r="H144" i="4"/>
  <c r="K144" i="4"/>
  <c r="H145" i="4"/>
  <c r="K145" i="4"/>
  <c r="H146" i="4"/>
  <c r="K146" i="4"/>
  <c r="H147" i="4"/>
  <c r="K147" i="4"/>
  <c r="H148" i="4"/>
  <c r="K148" i="4"/>
  <c r="H149" i="4"/>
  <c r="K149" i="4"/>
  <c r="H150" i="4"/>
  <c r="K150" i="4"/>
  <c r="K99" i="1"/>
  <c r="AA99" i="1"/>
  <c r="K100" i="1"/>
  <c r="AA100" i="1"/>
  <c r="K101" i="1"/>
  <c r="AA101" i="1"/>
  <c r="K102" i="1"/>
  <c r="AA102" i="1"/>
  <c r="K103" i="1"/>
  <c r="AA103" i="1"/>
  <c r="K104" i="1"/>
  <c r="AA104" i="1"/>
  <c r="K105" i="1"/>
  <c r="AA105" i="1"/>
  <c r="K106" i="1"/>
  <c r="AA106" i="1"/>
  <c r="K107" i="1"/>
  <c r="AA107" i="1"/>
  <c r="K108" i="1"/>
  <c r="AA108" i="1"/>
  <c r="K109" i="1"/>
  <c r="AA109" i="1"/>
  <c r="K110" i="1"/>
  <c r="AA110" i="1"/>
  <c r="K111" i="1"/>
  <c r="AA111" i="1"/>
  <c r="K112" i="1"/>
  <c r="AA112" i="1"/>
  <c r="K113" i="1"/>
  <c r="AA113" i="1"/>
  <c r="K114" i="1"/>
  <c r="AA114" i="1"/>
  <c r="K115" i="1"/>
  <c r="AA115" i="1"/>
  <c r="K116" i="1"/>
  <c r="AA116" i="1"/>
  <c r="K117" i="1"/>
  <c r="AA117" i="1"/>
  <c r="K118" i="1"/>
  <c r="AA118" i="1"/>
  <c r="K119" i="1"/>
  <c r="AA119" i="1"/>
  <c r="K120" i="1"/>
  <c r="AA120" i="1"/>
  <c r="K121" i="1"/>
  <c r="AA121" i="1"/>
  <c r="K122" i="1"/>
  <c r="AA122" i="1"/>
  <c r="K123" i="1"/>
  <c r="AA123" i="1"/>
  <c r="K124" i="1"/>
  <c r="AA124" i="1"/>
  <c r="K125" i="1"/>
  <c r="AA125" i="1"/>
  <c r="K126" i="1"/>
  <c r="AA126" i="1"/>
  <c r="K127" i="1"/>
  <c r="AA127" i="1"/>
  <c r="K128" i="1"/>
  <c r="AA128" i="1"/>
  <c r="K129" i="1"/>
  <c r="AA129" i="1"/>
  <c r="K130" i="1"/>
  <c r="AA130" i="1"/>
  <c r="H114" i="4"/>
  <c r="K114" i="4"/>
  <c r="H115" i="4"/>
  <c r="K115" i="4"/>
  <c r="H116" i="4"/>
  <c r="K116" i="4"/>
  <c r="H117" i="4"/>
  <c r="K117" i="4"/>
  <c r="H118" i="4"/>
  <c r="K118" i="4"/>
  <c r="H119" i="4"/>
  <c r="K119" i="4"/>
  <c r="H120" i="4"/>
  <c r="K120" i="4"/>
  <c r="H121" i="4"/>
  <c r="K121" i="4"/>
  <c r="H122" i="4"/>
  <c r="K122" i="4"/>
  <c r="H123" i="4"/>
  <c r="K123" i="4"/>
  <c r="H124" i="4"/>
  <c r="K124" i="4"/>
  <c r="H125" i="4"/>
  <c r="K125" i="4"/>
  <c r="R110" i="2"/>
  <c r="Y110" i="2"/>
  <c r="R111" i="2"/>
  <c r="Y111" i="2"/>
  <c r="R112" i="2"/>
  <c r="Y112" i="2"/>
  <c r="R113" i="2"/>
  <c r="Y113" i="2"/>
  <c r="R114" i="2"/>
  <c r="Y114" i="2"/>
  <c r="R115" i="2"/>
  <c r="Y115" i="2"/>
  <c r="R116" i="2"/>
  <c r="Y116" i="2"/>
  <c r="R117" i="2"/>
  <c r="Y117" i="2"/>
  <c r="R118" i="2"/>
  <c r="Y118" i="2"/>
  <c r="R119" i="2"/>
  <c r="Y119" i="2"/>
  <c r="R120" i="2"/>
  <c r="Y120" i="2"/>
  <c r="R121" i="2"/>
  <c r="Y121" i="2"/>
  <c r="R122" i="2"/>
  <c r="Y122" i="2"/>
  <c r="R123" i="2"/>
  <c r="Y123" i="2"/>
  <c r="R124" i="2"/>
  <c r="Y124" i="2"/>
  <c r="R125" i="2"/>
  <c r="Y125" i="2"/>
  <c r="R126" i="2"/>
  <c r="Y126" i="2"/>
  <c r="R127" i="2"/>
  <c r="Y127" i="2"/>
  <c r="R128" i="2"/>
  <c r="Y128" i="2"/>
  <c r="R129" i="2"/>
  <c r="Y129" i="2"/>
  <c r="R130" i="2"/>
  <c r="Y130" i="2"/>
  <c r="R131" i="2"/>
  <c r="Y131" i="2"/>
  <c r="R132" i="2"/>
  <c r="Y132" i="2"/>
  <c r="R133" i="2"/>
  <c r="Y133" i="2"/>
  <c r="R134" i="2"/>
  <c r="Y134" i="2"/>
  <c r="R135" i="2"/>
  <c r="Y135" i="2"/>
  <c r="R136" i="2"/>
  <c r="Y136" i="2"/>
  <c r="R137" i="2"/>
  <c r="Y137" i="2"/>
  <c r="R138" i="2"/>
  <c r="Y138" i="2"/>
  <c r="R139" i="2"/>
  <c r="Y139" i="2"/>
  <c r="R140" i="2"/>
  <c r="Y140" i="2"/>
  <c r="R141" i="2"/>
  <c r="Y141" i="2"/>
  <c r="R142" i="2"/>
  <c r="Y142" i="2"/>
  <c r="R143" i="2"/>
  <c r="Y143" i="2"/>
  <c r="R144" i="2"/>
  <c r="Y144" i="2"/>
  <c r="R145" i="2"/>
  <c r="Y145" i="2"/>
  <c r="R146" i="2"/>
  <c r="Y146" i="2"/>
  <c r="R147" i="2"/>
  <c r="Y147" i="2"/>
  <c r="R148" i="2"/>
  <c r="Y148" i="2"/>
  <c r="R149" i="2"/>
  <c r="Y149" i="2"/>
  <c r="R150" i="2"/>
  <c r="Y150" i="2"/>
  <c r="R151" i="2"/>
  <c r="Y151" i="2"/>
  <c r="R152" i="2"/>
  <c r="Y152" i="2"/>
  <c r="R153" i="2"/>
  <c r="Y153" i="2"/>
  <c r="R154" i="2"/>
  <c r="Y154" i="2"/>
  <c r="R155" i="2"/>
  <c r="Y155" i="2"/>
  <c r="R156" i="2"/>
  <c r="Y156" i="2"/>
  <c r="R157" i="2"/>
  <c r="Y157" i="2"/>
  <c r="R158" i="2"/>
  <c r="Y158" i="2"/>
  <c r="R159" i="2"/>
  <c r="Y159" i="2"/>
  <c r="R160" i="2"/>
  <c r="Y160" i="2"/>
  <c r="R161" i="2"/>
  <c r="Y161" i="2"/>
  <c r="R162" i="2"/>
  <c r="Y162" i="2"/>
  <c r="R163" i="2"/>
  <c r="Y163" i="2"/>
  <c r="R164" i="2"/>
  <c r="Y164" i="2"/>
  <c r="R165" i="2"/>
  <c r="Y165" i="2"/>
  <c r="R166" i="2"/>
  <c r="Y166" i="2"/>
  <c r="R167" i="2"/>
  <c r="Y167" i="2"/>
  <c r="R168" i="2"/>
  <c r="Y168" i="2"/>
  <c r="R169" i="2"/>
  <c r="Y169" i="2"/>
  <c r="R170" i="2"/>
  <c r="Y170" i="2"/>
  <c r="R171" i="2"/>
  <c r="Y171" i="2"/>
  <c r="R172" i="2"/>
  <c r="Y172" i="2"/>
  <c r="R173" i="2"/>
  <c r="Y173" i="2"/>
  <c r="R174" i="2"/>
  <c r="Y174" i="2"/>
  <c r="R175" i="2"/>
  <c r="Y175" i="2"/>
  <c r="R176" i="2"/>
  <c r="Y176" i="2"/>
  <c r="R177" i="2"/>
  <c r="Y177" i="2"/>
  <c r="R178" i="2"/>
  <c r="Y178" i="2"/>
  <c r="R179" i="2"/>
  <c r="Y179" i="2"/>
  <c r="R180" i="2"/>
  <c r="Y180" i="2"/>
  <c r="R181" i="2"/>
  <c r="Y181" i="2"/>
  <c r="R182" i="2"/>
  <c r="Y182" i="2"/>
  <c r="R183" i="2"/>
  <c r="Y183" i="2"/>
  <c r="R184" i="2"/>
  <c r="Y184" i="2"/>
  <c r="R185" i="2"/>
  <c r="Y185" i="2"/>
  <c r="R186" i="2"/>
  <c r="Y186" i="2"/>
  <c r="R187" i="2"/>
  <c r="Y187" i="2"/>
  <c r="R188" i="2"/>
  <c r="Y188" i="2"/>
  <c r="R189" i="2"/>
  <c r="Y189" i="2"/>
  <c r="R190" i="2"/>
  <c r="Y190" i="2"/>
  <c r="R191" i="2"/>
  <c r="Y191" i="2"/>
  <c r="R192" i="2"/>
  <c r="Y192" i="2"/>
  <c r="R193" i="2"/>
  <c r="Y193" i="2"/>
  <c r="R194" i="2"/>
  <c r="Y194" i="2"/>
  <c r="R195" i="2"/>
  <c r="Y195" i="2"/>
  <c r="R196" i="2"/>
  <c r="Y196" i="2"/>
  <c r="R197" i="2"/>
  <c r="Y197" i="2"/>
  <c r="R198" i="2"/>
  <c r="Y198" i="2"/>
  <c r="R199" i="2"/>
  <c r="Y199" i="2"/>
  <c r="R200" i="2"/>
  <c r="Y200" i="2"/>
  <c r="K83" i="1"/>
  <c r="AA83" i="1"/>
  <c r="K84" i="1"/>
  <c r="AA84" i="1"/>
  <c r="K85" i="1"/>
  <c r="AA85" i="1"/>
  <c r="K86" i="1"/>
  <c r="AA86" i="1"/>
  <c r="K87" i="1"/>
  <c r="AA87" i="1"/>
  <c r="K88" i="1"/>
  <c r="AA88" i="1"/>
  <c r="K89" i="1"/>
  <c r="AA89" i="1"/>
  <c r="K90" i="1"/>
  <c r="AA90" i="1"/>
  <c r="K91" i="1"/>
  <c r="AA91" i="1"/>
  <c r="K92" i="1"/>
  <c r="AA92" i="1"/>
  <c r="K93" i="1"/>
  <c r="AA93" i="1"/>
  <c r="K94" i="1"/>
  <c r="AA94" i="1"/>
  <c r="K95" i="1"/>
  <c r="AA95" i="1"/>
  <c r="K96" i="1"/>
  <c r="AA96" i="1"/>
  <c r="K97" i="1"/>
  <c r="AA97" i="1"/>
  <c r="K98" i="1"/>
  <c r="AA98" i="1"/>
  <c r="R5" i="2" l="1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R107" i="2"/>
  <c r="R108" i="2"/>
  <c r="R109" i="2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60" i="4"/>
  <c r="K61" i="4"/>
  <c r="K62" i="4"/>
  <c r="K63" i="4"/>
  <c r="K64" i="4"/>
  <c r="K65" i="4"/>
  <c r="K66" i="4"/>
  <c r="K67" i="4"/>
  <c r="K68" i="4"/>
  <c r="K69" i="4"/>
  <c r="K70" i="4"/>
  <c r="K71" i="4"/>
  <c r="K72" i="4"/>
  <c r="K73" i="4"/>
  <c r="K74" i="4"/>
  <c r="K75" i="4"/>
  <c r="K76" i="4"/>
  <c r="K77" i="4"/>
  <c r="K78" i="4"/>
  <c r="K79" i="4"/>
  <c r="K80" i="4"/>
  <c r="K81" i="4"/>
  <c r="K82" i="4"/>
  <c r="K83" i="4"/>
  <c r="K84" i="4"/>
  <c r="K85" i="4"/>
  <c r="K86" i="4"/>
  <c r="K87" i="4"/>
  <c r="K88" i="4"/>
  <c r="K89" i="4"/>
  <c r="K90" i="4"/>
  <c r="K91" i="4"/>
  <c r="K92" i="4"/>
  <c r="K93" i="4"/>
  <c r="K94" i="4"/>
  <c r="K95" i="4"/>
  <c r="K96" i="4"/>
  <c r="K97" i="4"/>
  <c r="K98" i="4"/>
  <c r="K99" i="4"/>
  <c r="K100" i="4"/>
  <c r="K101" i="4"/>
  <c r="K102" i="4"/>
  <c r="K103" i="4"/>
  <c r="K104" i="4"/>
  <c r="K105" i="4"/>
  <c r="K106" i="4"/>
  <c r="K107" i="4"/>
  <c r="K108" i="4"/>
  <c r="K109" i="4"/>
  <c r="K110" i="4"/>
  <c r="K111" i="4"/>
  <c r="K112" i="4"/>
  <c r="K113" i="4"/>
  <c r="K4" i="4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H24" i="4"/>
  <c r="H25" i="4"/>
  <c r="H26" i="4"/>
  <c r="H27" i="4"/>
  <c r="H28" i="4"/>
  <c r="H29" i="4"/>
  <c r="H30" i="4"/>
  <c r="H31" i="4"/>
  <c r="H32" i="4"/>
  <c r="H33" i="4"/>
  <c r="H34" i="4"/>
  <c r="H35" i="4"/>
  <c r="H36" i="4"/>
  <c r="H37" i="4"/>
  <c r="H38" i="4"/>
  <c r="H39" i="4"/>
  <c r="H40" i="4"/>
  <c r="H41" i="4"/>
  <c r="H42" i="4"/>
  <c r="H43" i="4"/>
  <c r="H44" i="4"/>
  <c r="H45" i="4"/>
  <c r="H46" i="4"/>
  <c r="H47" i="4"/>
  <c r="H48" i="4"/>
  <c r="H49" i="4"/>
  <c r="H50" i="4"/>
  <c r="H51" i="4"/>
  <c r="H52" i="4"/>
  <c r="H53" i="4"/>
  <c r="H54" i="4"/>
  <c r="H55" i="4"/>
  <c r="H56" i="4"/>
  <c r="H57" i="4"/>
  <c r="H58" i="4"/>
  <c r="H59" i="4"/>
  <c r="H60" i="4"/>
  <c r="H61" i="4"/>
  <c r="H62" i="4"/>
  <c r="H63" i="4"/>
  <c r="H64" i="4"/>
  <c r="H65" i="4"/>
  <c r="H66" i="4"/>
  <c r="H67" i="4"/>
  <c r="H68" i="4"/>
  <c r="H69" i="4"/>
  <c r="H70" i="4"/>
  <c r="H71" i="4"/>
  <c r="H72" i="4"/>
  <c r="H73" i="4"/>
  <c r="H74" i="4"/>
  <c r="H75" i="4"/>
  <c r="H76" i="4"/>
  <c r="H77" i="4"/>
  <c r="H78" i="4"/>
  <c r="H79" i="4"/>
  <c r="H80" i="4"/>
  <c r="H81" i="4"/>
  <c r="H82" i="4"/>
  <c r="H83" i="4"/>
  <c r="H84" i="4"/>
  <c r="H85" i="4"/>
  <c r="H86" i="4"/>
  <c r="H87" i="4"/>
  <c r="H88" i="4"/>
  <c r="H89" i="4"/>
  <c r="H90" i="4"/>
  <c r="H91" i="4"/>
  <c r="H92" i="4"/>
  <c r="H93" i="4"/>
  <c r="H94" i="4"/>
  <c r="H95" i="4"/>
  <c r="H96" i="4"/>
  <c r="H97" i="4"/>
  <c r="H98" i="4"/>
  <c r="H99" i="4"/>
  <c r="H100" i="4"/>
  <c r="H101" i="4"/>
  <c r="H102" i="4"/>
  <c r="H103" i="4"/>
  <c r="H104" i="4"/>
  <c r="H105" i="4"/>
  <c r="H106" i="4"/>
  <c r="H107" i="4"/>
  <c r="H108" i="4"/>
  <c r="H109" i="4"/>
  <c r="H110" i="4"/>
  <c r="H111" i="4"/>
  <c r="H112" i="4"/>
  <c r="H113" i="4"/>
  <c r="K24" i="1"/>
  <c r="AA24" i="1"/>
  <c r="K25" i="1"/>
  <c r="AA25" i="1"/>
  <c r="K26" i="1"/>
  <c r="AA26" i="1"/>
  <c r="K27" i="1"/>
  <c r="AA27" i="1"/>
  <c r="K28" i="1"/>
  <c r="AA28" i="1"/>
  <c r="K29" i="1"/>
  <c r="AA29" i="1"/>
  <c r="K30" i="1"/>
  <c r="AA30" i="1"/>
  <c r="K31" i="1"/>
  <c r="AA31" i="1"/>
  <c r="K32" i="1"/>
  <c r="AA32" i="1"/>
  <c r="K33" i="1"/>
  <c r="AA33" i="1"/>
  <c r="K34" i="1"/>
  <c r="AA34" i="1"/>
  <c r="K35" i="1"/>
  <c r="AA35" i="1"/>
  <c r="K36" i="1"/>
  <c r="AA36" i="1"/>
  <c r="K37" i="1"/>
  <c r="AA37" i="1"/>
  <c r="K38" i="1"/>
  <c r="AA38" i="1"/>
  <c r="K39" i="1"/>
  <c r="AA39" i="1"/>
  <c r="K40" i="1"/>
  <c r="AA40" i="1"/>
  <c r="K41" i="1"/>
  <c r="AA41" i="1"/>
  <c r="K42" i="1"/>
  <c r="AA42" i="1"/>
  <c r="K43" i="1"/>
  <c r="AA43" i="1"/>
  <c r="K44" i="1"/>
  <c r="AA44" i="1"/>
  <c r="K45" i="1"/>
  <c r="AA45" i="1"/>
  <c r="K46" i="1"/>
  <c r="AA46" i="1"/>
  <c r="K47" i="1"/>
  <c r="AA47" i="1"/>
  <c r="K48" i="1"/>
  <c r="AA48" i="1"/>
  <c r="K49" i="1"/>
  <c r="AA49" i="1"/>
  <c r="K50" i="1"/>
  <c r="AA50" i="1"/>
  <c r="K51" i="1"/>
  <c r="AA51" i="1"/>
  <c r="K52" i="1"/>
  <c r="AA52" i="1"/>
  <c r="K53" i="1"/>
  <c r="AA53" i="1"/>
  <c r="K54" i="1"/>
  <c r="AA54" i="1"/>
  <c r="K55" i="1"/>
  <c r="AA55" i="1"/>
  <c r="K56" i="1"/>
  <c r="AA56" i="1"/>
  <c r="K57" i="1"/>
  <c r="AA57" i="1"/>
  <c r="K58" i="1"/>
  <c r="AA58" i="1"/>
  <c r="K59" i="1"/>
  <c r="AA59" i="1"/>
  <c r="K60" i="1"/>
  <c r="AA60" i="1"/>
  <c r="K61" i="1"/>
  <c r="AA61" i="1"/>
  <c r="K62" i="1"/>
  <c r="AA62" i="1"/>
  <c r="K63" i="1"/>
  <c r="AA63" i="1"/>
  <c r="K64" i="1"/>
  <c r="AA64" i="1"/>
  <c r="K65" i="1"/>
  <c r="AA65" i="1"/>
  <c r="K66" i="1"/>
  <c r="AA66" i="1"/>
  <c r="K67" i="1"/>
  <c r="AA67" i="1"/>
  <c r="K68" i="1"/>
  <c r="AA68" i="1"/>
  <c r="K69" i="1"/>
  <c r="AA69" i="1"/>
  <c r="K70" i="1"/>
  <c r="AA70" i="1"/>
  <c r="K71" i="1"/>
  <c r="AA71" i="1"/>
  <c r="K72" i="1"/>
  <c r="AA72" i="1"/>
  <c r="K73" i="1"/>
  <c r="AA73" i="1"/>
  <c r="K74" i="1"/>
  <c r="AA74" i="1"/>
  <c r="K75" i="1"/>
  <c r="AA75" i="1"/>
  <c r="K76" i="1"/>
  <c r="AA76" i="1"/>
  <c r="K77" i="1"/>
  <c r="AA77" i="1"/>
  <c r="K78" i="1"/>
  <c r="AA78" i="1"/>
  <c r="K79" i="1"/>
  <c r="AA79" i="1"/>
  <c r="K80" i="1"/>
  <c r="AA80" i="1"/>
  <c r="K81" i="1"/>
  <c r="AA81" i="1"/>
  <c r="K82" i="1"/>
  <c r="AA82" i="1"/>
  <c r="N4" i="5"/>
  <c r="L5" i="5"/>
  <c r="M5" i="5"/>
  <c r="N5" i="5"/>
  <c r="L6" i="5"/>
  <c r="M6" i="5"/>
  <c r="N6" i="5"/>
  <c r="L7" i="5"/>
  <c r="M7" i="5"/>
  <c r="N7" i="5"/>
  <c r="L8" i="5"/>
  <c r="M8" i="5"/>
  <c r="N8" i="5"/>
  <c r="L9" i="5"/>
  <c r="M9" i="5"/>
  <c r="N9" i="5"/>
  <c r="L10" i="5"/>
  <c r="M10" i="5"/>
  <c r="N10" i="5"/>
  <c r="L11" i="5"/>
  <c r="M11" i="5"/>
  <c r="N11" i="5"/>
  <c r="L12" i="5"/>
  <c r="M12" i="5"/>
  <c r="N12" i="5"/>
  <c r="L13" i="5"/>
  <c r="M13" i="5"/>
  <c r="N13" i="5"/>
  <c r="L14" i="5"/>
  <c r="M14" i="5"/>
  <c r="N14" i="5"/>
  <c r="L15" i="5"/>
  <c r="M15" i="5"/>
  <c r="N15" i="5"/>
  <c r="L16" i="5"/>
  <c r="M16" i="5"/>
  <c r="N16" i="5"/>
  <c r="L17" i="5"/>
  <c r="M17" i="5"/>
  <c r="N17" i="5"/>
  <c r="L18" i="5"/>
  <c r="M18" i="5"/>
  <c r="N18" i="5"/>
  <c r="L19" i="5"/>
  <c r="M19" i="5"/>
  <c r="N19" i="5"/>
  <c r="L20" i="5"/>
  <c r="M20" i="5"/>
  <c r="N20" i="5"/>
  <c r="L21" i="5"/>
  <c r="M21" i="5"/>
  <c r="N21" i="5"/>
  <c r="L22" i="5"/>
  <c r="M22" i="5"/>
  <c r="N22" i="5"/>
  <c r="L23" i="5"/>
  <c r="M23" i="5"/>
  <c r="N23" i="5"/>
  <c r="M4" i="5"/>
  <c r="L4" i="5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18" i="4"/>
  <c r="H19" i="4"/>
  <c r="H20" i="4"/>
  <c r="H21" i="4"/>
  <c r="H22" i="4"/>
  <c r="H23" i="4"/>
  <c r="H4" i="4"/>
  <c r="K5" i="1"/>
  <c r="AA5" i="1"/>
  <c r="K6" i="1"/>
  <c r="AA6" i="1"/>
  <c r="K7" i="1"/>
  <c r="AA7" i="1"/>
  <c r="K8" i="1"/>
  <c r="AA8" i="1"/>
  <c r="K9" i="1"/>
  <c r="AA9" i="1"/>
  <c r="K10" i="1"/>
  <c r="AA10" i="1"/>
  <c r="K11" i="1"/>
  <c r="AA11" i="1"/>
  <c r="K12" i="1"/>
  <c r="AA12" i="1"/>
  <c r="K13" i="1"/>
  <c r="AA13" i="1"/>
  <c r="K14" i="1"/>
  <c r="AA14" i="1"/>
  <c r="K15" i="1"/>
  <c r="AA15" i="1"/>
  <c r="K16" i="1"/>
  <c r="AA16" i="1"/>
  <c r="K17" i="1"/>
  <c r="AA17" i="1"/>
  <c r="K18" i="1"/>
  <c r="AA18" i="1"/>
  <c r="K19" i="1"/>
  <c r="AA19" i="1"/>
  <c r="K20" i="1"/>
  <c r="AA20" i="1"/>
  <c r="K21" i="1"/>
  <c r="AA21" i="1"/>
  <c r="K22" i="1"/>
  <c r="AA22" i="1"/>
  <c r="K23" i="1"/>
  <c r="AA23" i="1"/>
  <c r="K4" i="1"/>
  <c r="AA4" i="1" s="1"/>
</calcChain>
</file>

<file path=xl/sharedStrings.xml><?xml version="1.0" encoding="utf-8"?>
<sst xmlns="http://schemas.openxmlformats.org/spreadsheetml/2006/main" count="3525" uniqueCount="1080">
  <si>
    <t>Mainline Liner</t>
  </si>
  <si>
    <t>Design Information</t>
  </si>
  <si>
    <t>Pre CCTV Information</t>
  </si>
  <si>
    <t>Liner Installation Information</t>
  </si>
  <si>
    <t>Liner Testing  Information</t>
  </si>
  <si>
    <t>Post CCTV Information</t>
  </si>
  <si>
    <t xml:space="preserve">CWN Item No. </t>
  </si>
  <si>
    <t>SAC</t>
  </si>
  <si>
    <t>SAC Revised</t>
  </si>
  <si>
    <t>Existing Pipe Material</t>
  </si>
  <si>
    <t>USMH</t>
  </si>
  <si>
    <t>DSMH</t>
  </si>
  <si>
    <t>Pipe Dia.</t>
  </si>
  <si>
    <t>Street Name</t>
  </si>
  <si>
    <t xml:space="preserve">Sheet No. </t>
  </si>
  <si>
    <t>Plan Length</t>
  </si>
  <si>
    <t>EAC Length</t>
  </si>
  <si>
    <t>Pre CCTV Date</t>
  </si>
  <si>
    <t>Camera Direction</t>
  </si>
  <si>
    <t>CCTV Length</t>
  </si>
  <si>
    <t>Heavy Cleaning Length</t>
  </si>
  <si>
    <t>Date Installed</t>
  </si>
  <si>
    <t>Installed Length</t>
  </si>
  <si>
    <t>Contractor Shot No.</t>
  </si>
  <si>
    <t># of Services</t>
  </si>
  <si>
    <t>Drop</t>
  </si>
  <si>
    <t>Air Test?</t>
  </si>
  <si>
    <t>Test PSI Start</t>
  </si>
  <si>
    <t>Test PSI End</t>
  </si>
  <si>
    <t>Air Test Pass/Fail</t>
  </si>
  <si>
    <t>Post CCTV Date</t>
  </si>
  <si>
    <t>Uploaded to MWS Date</t>
  </si>
  <si>
    <t>Comments</t>
  </si>
  <si>
    <t>Service Connections</t>
  </si>
  <si>
    <t>CWN Office Use Only</t>
  </si>
  <si>
    <t>Excavation Services</t>
  </si>
  <si>
    <t>CIPP Services</t>
  </si>
  <si>
    <t>CWN Item No.</t>
  </si>
  <si>
    <t>USHM</t>
  </si>
  <si>
    <t xml:space="preserve">Distance from USMH </t>
  </si>
  <si>
    <t>Clock Position</t>
  </si>
  <si>
    <t>House #</t>
  </si>
  <si>
    <t>Street Name Prefix</t>
  </si>
  <si>
    <t>Street Name Suffix</t>
  </si>
  <si>
    <t>Launch Date</t>
  </si>
  <si>
    <t>CWN Recommendations (Subject to Change)</t>
  </si>
  <si>
    <t>Cleanout Install Date</t>
  </si>
  <si>
    <t>C/O Size</t>
  </si>
  <si>
    <t xml:space="preserve"> C/O Depth (FT)</t>
  </si>
  <si>
    <t>Length Installed</t>
  </si>
  <si>
    <t>Extra Pipe</t>
  </si>
  <si>
    <t>Tie In Material</t>
  </si>
  <si>
    <t>Traffic Box</t>
  </si>
  <si>
    <t>Inside Roadway?</t>
  </si>
  <si>
    <t>Hard Surface Repair Needed</t>
  </si>
  <si>
    <t>PSI Start</t>
  </si>
  <si>
    <t>PSI End</t>
  </si>
  <si>
    <t>Pass/Fail</t>
  </si>
  <si>
    <t>CIPP Liner Install Date</t>
  </si>
  <si>
    <t>Extra Length</t>
  </si>
  <si>
    <t xml:space="preserve"> Date Tested</t>
  </si>
  <si>
    <t>Failure Method</t>
  </si>
  <si>
    <t>Date Posted</t>
  </si>
  <si>
    <t>CWN Recommendations - Service Tab</t>
  </si>
  <si>
    <t>Abandon/Line over</t>
  </si>
  <si>
    <t>Blind Shot</t>
  </si>
  <si>
    <t>CIPP with C/O</t>
  </si>
  <si>
    <t>Cleanout Only</t>
  </si>
  <si>
    <t>Cut and Brush</t>
  </si>
  <si>
    <t>Drop Connection</t>
  </si>
  <si>
    <t>Service Relay</t>
  </si>
  <si>
    <t>Transition</t>
  </si>
  <si>
    <t>Tophat</t>
  </si>
  <si>
    <t>Blind Shot &amp; Tophat</t>
  </si>
  <si>
    <t>Other, See Notes</t>
  </si>
  <si>
    <t>Line to Existing</t>
  </si>
  <si>
    <t>No Action</t>
  </si>
  <si>
    <t xml:space="preserve">Clay </t>
  </si>
  <si>
    <t>Concrete</t>
  </si>
  <si>
    <t>Metal</t>
  </si>
  <si>
    <t>PVC</t>
  </si>
  <si>
    <t>Manhole Worksheet</t>
  </si>
  <si>
    <t>Manhole Work Information</t>
  </si>
  <si>
    <t>Manhole Testing Information</t>
  </si>
  <si>
    <t>Additional MH Bid Items</t>
  </si>
  <si>
    <t>Manhole Number</t>
  </si>
  <si>
    <t>Sheet No.</t>
  </si>
  <si>
    <t>Pipe Size</t>
  </si>
  <si>
    <t>Plan Depth</t>
  </si>
  <si>
    <t>Repair Code</t>
  </si>
  <si>
    <t>EAC Depth</t>
  </si>
  <si>
    <t>Type (Cem/epoxy)</t>
  </si>
  <si>
    <t>Depth</t>
  </si>
  <si>
    <t>Dia.</t>
  </si>
  <si>
    <t>Date Sprayed</t>
  </si>
  <si>
    <t>Date Prepped</t>
  </si>
  <si>
    <t>Date Tested</t>
  </si>
  <si>
    <t>Gauge start</t>
  </si>
  <si>
    <t>Gauge End</t>
  </si>
  <si>
    <t>Sonde Locate Date</t>
  </si>
  <si>
    <t>Casting Adjustment Date</t>
  </si>
  <si>
    <t>Grout Date</t>
  </si>
  <si>
    <t>Grout Qty</t>
  </si>
  <si>
    <t>Hard Surface Restoration</t>
  </si>
  <si>
    <t>Dimensions</t>
  </si>
  <si>
    <t>Asphalt Restoration</t>
  </si>
  <si>
    <t>Concrete Restoration</t>
  </si>
  <si>
    <t>Upstream MH</t>
  </si>
  <si>
    <t>Downstream MH</t>
  </si>
  <si>
    <t xml:space="preserve">Distance from US MH </t>
  </si>
  <si>
    <t>Length (ft)</t>
  </si>
  <si>
    <t>Width (ft)</t>
  </si>
  <si>
    <t>Depth (ft)</t>
  </si>
  <si>
    <t>SY</t>
  </si>
  <si>
    <t>CY</t>
  </si>
  <si>
    <t>Calculated Tonnage</t>
  </si>
  <si>
    <t>Date Binder Installed</t>
  </si>
  <si>
    <t>Quantity Binder (Ton)</t>
  </si>
  <si>
    <t>Date Milled</t>
  </si>
  <si>
    <t>Quantity Milled (SY)</t>
  </si>
  <si>
    <t>Date Paved</t>
  </si>
  <si>
    <t>Quantity Paved (Ton)</t>
  </si>
  <si>
    <t>Driveway or Roadway</t>
  </si>
  <si>
    <t>Qty Installed (SY)</t>
  </si>
  <si>
    <t>Driveway or Sidewalk</t>
  </si>
  <si>
    <t>Flow Fill Qty (CY)</t>
  </si>
  <si>
    <t>Concrete Encasement (CY)</t>
  </si>
  <si>
    <t>Concrete Curb Qty (LF)</t>
  </si>
  <si>
    <t>Pay Item(s)</t>
  </si>
  <si>
    <t>Launch Notes</t>
  </si>
  <si>
    <t xml:space="preserve">Calculated Quantities </t>
  </si>
  <si>
    <t>Point Repairs</t>
  </si>
  <si>
    <t>Excavation Repairs</t>
  </si>
  <si>
    <t>CIPP Repairs</t>
  </si>
  <si>
    <t>Excavation Length (ft)</t>
  </si>
  <si>
    <t>Excavation Width (ft)</t>
  </si>
  <si>
    <t>Excavation Depth (ft)</t>
  </si>
  <si>
    <t xml:space="preserve">Date Installed </t>
  </si>
  <si>
    <t>Pipe Length (FT)</t>
  </si>
  <si>
    <t>Pipe Depth (FT)</t>
  </si>
  <si>
    <t>Flowable Fill (SY)</t>
  </si>
  <si>
    <t>Service or Mainline</t>
  </si>
  <si>
    <t>Inside Paved Area?</t>
  </si>
  <si>
    <t>Length (FT)</t>
  </si>
  <si>
    <t>Repair Details</t>
  </si>
  <si>
    <t>Sheet #</t>
  </si>
  <si>
    <t>Repair Description</t>
  </si>
  <si>
    <t>Repair Qty</t>
  </si>
  <si>
    <t>Misc Bid Items</t>
  </si>
  <si>
    <t>Date Raised</t>
  </si>
  <si>
    <t>Depth Raised</t>
  </si>
  <si>
    <t>Casting Type</t>
  </si>
  <si>
    <t>New Casting Install Date</t>
  </si>
  <si>
    <t>Casting Adjustment Depth</t>
  </si>
  <si>
    <t>Service Testing</t>
  </si>
  <si>
    <t>IR</t>
  </si>
  <si>
    <t>Extra Depth</t>
  </si>
  <si>
    <t>A-001</t>
  </si>
  <si>
    <t>A-002</t>
  </si>
  <si>
    <t>A-003</t>
  </si>
  <si>
    <t>A-005</t>
  </si>
  <si>
    <t>A-006</t>
  </si>
  <si>
    <t>A-007</t>
  </si>
  <si>
    <t>A-009</t>
  </si>
  <si>
    <t>A-010</t>
  </si>
  <si>
    <t>A-011</t>
  </si>
  <si>
    <t>A-012</t>
  </si>
  <si>
    <t>A-013</t>
  </si>
  <si>
    <t>A-014</t>
  </si>
  <si>
    <t>A-015</t>
  </si>
  <si>
    <t>A-016</t>
  </si>
  <si>
    <t>A-024</t>
  </si>
  <si>
    <t>A-025</t>
  </si>
  <si>
    <t>A-026</t>
  </si>
  <si>
    <t>107-05-010</t>
  </si>
  <si>
    <t>107-05-009</t>
  </si>
  <si>
    <t>107-05-011</t>
  </si>
  <si>
    <t>107-05-012</t>
  </si>
  <si>
    <t>107-05-013</t>
  </si>
  <si>
    <t>107-05-014</t>
  </si>
  <si>
    <t>107-05-015</t>
  </si>
  <si>
    <t>107-05-020</t>
  </si>
  <si>
    <t>107-05-021</t>
  </si>
  <si>
    <t>107-05-022</t>
  </si>
  <si>
    <t>107-05-024</t>
  </si>
  <si>
    <t>107-05-025</t>
  </si>
  <si>
    <t>107-05-052</t>
  </si>
  <si>
    <t>107-05-053</t>
  </si>
  <si>
    <t>107-05-054</t>
  </si>
  <si>
    <t>107-05-077</t>
  </si>
  <si>
    <t>107-05-081</t>
  </si>
  <si>
    <t>107-05-082</t>
  </si>
  <si>
    <t>107-05-087</t>
  </si>
  <si>
    <t>107-09-039</t>
  </si>
  <si>
    <t>107-005-083</t>
  </si>
  <si>
    <t>107-09-041</t>
  </si>
  <si>
    <t>107-09-040</t>
  </si>
  <si>
    <t>107-09-042</t>
  </si>
  <si>
    <t>107-09-043</t>
  </si>
  <si>
    <t>107-09-044</t>
  </si>
  <si>
    <t>107-09-045</t>
  </si>
  <si>
    <t>107-09-046</t>
  </si>
  <si>
    <t>107-09-049</t>
  </si>
  <si>
    <t>107-09-048</t>
  </si>
  <si>
    <t>107-10-015</t>
  </si>
  <si>
    <t>107-10-002</t>
  </si>
  <si>
    <t>25/26</t>
  </si>
  <si>
    <t>25/26/27/28</t>
  </si>
  <si>
    <t>27/28</t>
  </si>
  <si>
    <t>ELISSA DR/DABBS AVE</t>
  </si>
  <si>
    <t>ELISSA DR</t>
  </si>
  <si>
    <t>PATRICIA DR</t>
  </si>
  <si>
    <t>KAREN DR</t>
  </si>
  <si>
    <t>FIVE OAKS DR</t>
  </si>
  <si>
    <t>MASSMAN DR</t>
  </si>
  <si>
    <t>GLASTONBURY BLVD</t>
  </si>
  <si>
    <t>29/30</t>
  </si>
  <si>
    <t xml:space="preserve"> CIP/CONC</t>
  </si>
  <si>
    <t>CIPP</t>
  </si>
  <si>
    <t xml:space="preserve">CONC </t>
  </si>
  <si>
    <t>CONC/CIP</t>
  </si>
  <si>
    <t>CONC</t>
  </si>
  <si>
    <t xml:space="preserve">VCP </t>
  </si>
  <si>
    <t>VCP</t>
  </si>
  <si>
    <t>DIP</t>
  </si>
  <si>
    <t>CIPP; S-LL (1)</t>
  </si>
  <si>
    <t>S-LL (5)</t>
  </si>
  <si>
    <t>CIPP; S-LL(2)</t>
  </si>
  <si>
    <t>S-LL (2)</t>
  </si>
  <si>
    <t>S-LL(3)</t>
  </si>
  <si>
    <t>CIPP; S-LL(7); IR(1)</t>
  </si>
  <si>
    <t>CIPP; S-LL(2); EX</t>
  </si>
  <si>
    <t>CIPP; EX</t>
  </si>
  <si>
    <t>CIPP; IR; S-LL (4)</t>
  </si>
  <si>
    <t>CIPP; IR; S-LL(5)</t>
  </si>
  <si>
    <t>CIPP; S-LL(3)</t>
  </si>
  <si>
    <t>CCTV; IR(2)</t>
  </si>
  <si>
    <t>CIPP; S-LL(4)</t>
  </si>
  <si>
    <t>CIPP; IR</t>
  </si>
  <si>
    <t>CIPP; EX (2); S-LL(3)</t>
  </si>
  <si>
    <t xml:space="preserve">CIPP; S-LL(4); </t>
  </si>
  <si>
    <t>CIPP; IR; S-LL(4)</t>
  </si>
  <si>
    <t>CIPP; IR(1)</t>
  </si>
  <si>
    <t>S-LL(1)</t>
  </si>
  <si>
    <t>CIPP; S-LL(1)</t>
  </si>
  <si>
    <t>B-001</t>
  </si>
  <si>
    <t>B-002</t>
  </si>
  <si>
    <t>B-003</t>
  </si>
  <si>
    <t>B-006</t>
  </si>
  <si>
    <t>B-007</t>
  </si>
  <si>
    <t>B-008</t>
  </si>
  <si>
    <t>B-009</t>
  </si>
  <si>
    <t>B-010</t>
  </si>
  <si>
    <t>B-011</t>
  </si>
  <si>
    <t>B-012</t>
  </si>
  <si>
    <t>B-015</t>
  </si>
  <si>
    <t>B-016</t>
  </si>
  <si>
    <t>B-017</t>
  </si>
  <si>
    <t>B-018</t>
  </si>
  <si>
    <t>B-019</t>
  </si>
  <si>
    <t>107-05-083</t>
  </si>
  <si>
    <t>B-020</t>
  </si>
  <si>
    <t>107-09-003</t>
  </si>
  <si>
    <t>B-021</t>
  </si>
  <si>
    <t>B-023</t>
  </si>
  <si>
    <t>B-024</t>
  </si>
  <si>
    <t>B-025</t>
  </si>
  <si>
    <t>B-027</t>
  </si>
  <si>
    <t>B-028</t>
  </si>
  <si>
    <t>B-030</t>
  </si>
  <si>
    <t>B-031</t>
  </si>
  <si>
    <t>B-032</t>
  </si>
  <si>
    <t>OAK GROVE DR</t>
  </si>
  <si>
    <t>L</t>
  </si>
  <si>
    <t>L, G</t>
  </si>
  <si>
    <t>L, M</t>
  </si>
  <si>
    <t>L,F</t>
  </si>
  <si>
    <t>L, F</t>
  </si>
  <si>
    <t>L, G, P, F</t>
  </si>
  <si>
    <t>L, C</t>
  </si>
  <si>
    <t>L, H</t>
  </si>
  <si>
    <t>K, M</t>
  </si>
  <si>
    <t>DROP</t>
  </si>
  <si>
    <t>DROP X 2</t>
  </si>
  <si>
    <t>PLUG ORIGINAL STUBOUT TO NW</t>
  </si>
  <si>
    <t>DAYLIGHT SHOWING AT PICK HOLE-FRAME BROKE</t>
  </si>
  <si>
    <t>AS BUILTS NOTE STUB FOR 1014 MASSMAN IN MH</t>
  </si>
  <si>
    <t>MH IS A SPECIAL SHALLOW TYPE</t>
  </si>
  <si>
    <t>A-102</t>
  </si>
  <si>
    <t>A-103</t>
  </si>
  <si>
    <t>A-104</t>
  </si>
  <si>
    <t>A-106</t>
  </si>
  <si>
    <t>A-108</t>
  </si>
  <si>
    <t>A-110</t>
  </si>
  <si>
    <t>A-111</t>
  </si>
  <si>
    <t>A-123</t>
  </si>
  <si>
    <t>A-124</t>
  </si>
  <si>
    <t>A-126</t>
  </si>
  <si>
    <t>A-127</t>
  </si>
  <si>
    <t>A-128</t>
  </si>
  <si>
    <t>A-129</t>
  </si>
  <si>
    <t>A-130</t>
  </si>
  <si>
    <t>A-131</t>
  </si>
  <si>
    <t>A-132</t>
  </si>
  <si>
    <t>A-133</t>
  </si>
  <si>
    <t>A-134</t>
  </si>
  <si>
    <t>A-135</t>
  </si>
  <si>
    <t>A-136</t>
  </si>
  <si>
    <t>A-137</t>
  </si>
  <si>
    <t>A-138</t>
  </si>
  <si>
    <t>A-139</t>
  </si>
  <si>
    <t>A-140</t>
  </si>
  <si>
    <t>A-141</t>
  </si>
  <si>
    <t>A-142</t>
  </si>
  <si>
    <t>A-143</t>
  </si>
  <si>
    <t>A-144</t>
  </si>
  <si>
    <t>A-147</t>
  </si>
  <si>
    <t>CCTV</t>
  </si>
  <si>
    <t>UNK</t>
  </si>
  <si>
    <t>PATRICIA</t>
  </si>
  <si>
    <t>ELISSA</t>
  </si>
  <si>
    <t>KAREN</t>
  </si>
  <si>
    <t>GLASTONBURY</t>
  </si>
  <si>
    <t>A-027</t>
  </si>
  <si>
    <t>A-028</t>
  </si>
  <si>
    <t>A-029</t>
  </si>
  <si>
    <t>A-030</t>
  </si>
  <si>
    <t>A-031</t>
  </si>
  <si>
    <t>A-033</t>
  </si>
  <si>
    <t>A-036</t>
  </si>
  <si>
    <t>A-037</t>
  </si>
  <si>
    <t>A-038</t>
  </si>
  <si>
    <t>A-039</t>
  </si>
  <si>
    <t>A-041</t>
  </si>
  <si>
    <t>A-045</t>
  </si>
  <si>
    <t>A-047</t>
  </si>
  <si>
    <t>A-049</t>
  </si>
  <si>
    <t>A-050</t>
  </si>
  <si>
    <t>A-053</t>
  </si>
  <si>
    <t>A-054</t>
  </si>
  <si>
    <t>A-055</t>
  </si>
  <si>
    <t>A-056</t>
  </si>
  <si>
    <t>A-059</t>
  </si>
  <si>
    <t>A-060</t>
  </si>
  <si>
    <t>A-062</t>
  </si>
  <si>
    <t>A-063</t>
  </si>
  <si>
    <t>A-064</t>
  </si>
  <si>
    <t>A-069</t>
  </si>
  <si>
    <t>A-070</t>
  </si>
  <si>
    <t>A-071</t>
  </si>
  <si>
    <t>A-072</t>
  </si>
  <si>
    <t>A-075</t>
  </si>
  <si>
    <t>A-076</t>
  </si>
  <si>
    <t>A-077</t>
  </si>
  <si>
    <t>A-078</t>
  </si>
  <si>
    <t>A-083</t>
  </si>
  <si>
    <t>A-086</t>
  </si>
  <si>
    <t>A-088</t>
  </si>
  <si>
    <t>A-093</t>
  </si>
  <si>
    <t>A-097</t>
  </si>
  <si>
    <t>A-098</t>
  </si>
  <si>
    <t>A-100</t>
  </si>
  <si>
    <t>A-149</t>
  </si>
  <si>
    <t>A-150</t>
  </si>
  <si>
    <t>A-152</t>
  </si>
  <si>
    <t>A-153</t>
  </si>
  <si>
    <t>A-154</t>
  </si>
  <si>
    <t>A-157</t>
  </si>
  <si>
    <t>147-04-043</t>
  </si>
  <si>
    <t>147-04-044</t>
  </si>
  <si>
    <t>147-04-045</t>
  </si>
  <si>
    <t>147-04-047</t>
  </si>
  <si>
    <t>147-04-048</t>
  </si>
  <si>
    <t>147-04-049</t>
  </si>
  <si>
    <t>147-04-093</t>
  </si>
  <si>
    <t>147-04-051</t>
  </si>
  <si>
    <t>147-04-052</t>
  </si>
  <si>
    <t>147-04-050</t>
  </si>
  <si>
    <t>147-04-053</t>
  </si>
  <si>
    <t>147-04-054</t>
  </si>
  <si>
    <t>147-04-055</t>
  </si>
  <si>
    <t>147-04-056</t>
  </si>
  <si>
    <t>147-04-057</t>
  </si>
  <si>
    <t>147-04-058</t>
  </si>
  <si>
    <t>147-08-014</t>
  </si>
  <si>
    <t>147-04-068</t>
  </si>
  <si>
    <t>147-04-085</t>
  </si>
  <si>
    <t>147-04-069</t>
  </si>
  <si>
    <t>147-04-070</t>
  </si>
  <si>
    <t>147-04-071</t>
  </si>
  <si>
    <t>147-04-072</t>
  </si>
  <si>
    <t>147-04-073</t>
  </si>
  <si>
    <t>147-04-081</t>
  </si>
  <si>
    <t>147-04-074</t>
  </si>
  <si>
    <t>147-04-075</t>
  </si>
  <si>
    <t>147-04-077</t>
  </si>
  <si>
    <t>147-04-080</t>
  </si>
  <si>
    <t>147-04-082</t>
  </si>
  <si>
    <t>RSSPSS25</t>
  </si>
  <si>
    <t>147-04-084</t>
  </si>
  <si>
    <t>147-04-092</t>
  </si>
  <si>
    <t>147-04-105</t>
  </si>
  <si>
    <t>147-08-011</t>
  </si>
  <si>
    <t>147-08-010</t>
  </si>
  <si>
    <t>147-08-013</t>
  </si>
  <si>
    <t>147-08-098</t>
  </si>
  <si>
    <t>147-08-015</t>
  </si>
  <si>
    <t>147-08-017</t>
  </si>
  <si>
    <t>147-08-016</t>
  </si>
  <si>
    <t>147-08-018</t>
  </si>
  <si>
    <t>147-08-019</t>
  </si>
  <si>
    <t>147-08-020</t>
  </si>
  <si>
    <t>147-08-021</t>
  </si>
  <si>
    <t>147-08-039</t>
  </si>
  <si>
    <t>147-08-067</t>
  </si>
  <si>
    <t>147-08-040</t>
  </si>
  <si>
    <t>147-08-047</t>
  </si>
  <si>
    <t>147-08-046</t>
  </si>
  <si>
    <t>147-08-048</t>
  </si>
  <si>
    <t>147-08-049</t>
  </si>
  <si>
    <t>147-04-079</t>
  </si>
  <si>
    <t>147-08-054</t>
  </si>
  <si>
    <t>147-08-053</t>
  </si>
  <si>
    <t>147-08-055</t>
  </si>
  <si>
    <t>147-08-056</t>
  </si>
  <si>
    <t>147-08-057</t>
  </si>
  <si>
    <t>147-08-060</t>
  </si>
  <si>
    <t>147-08-059</t>
  </si>
  <si>
    <t>147-08-061</t>
  </si>
  <si>
    <t>147-08-062</t>
  </si>
  <si>
    <t>147-08-063</t>
  </si>
  <si>
    <t>147-08-068</t>
  </si>
  <si>
    <t>147-08-071</t>
  </si>
  <si>
    <t>147-08-070</t>
  </si>
  <si>
    <t>147-08-073</t>
  </si>
  <si>
    <t>147-08-078</t>
  </si>
  <si>
    <t>147-08-077</t>
  </si>
  <si>
    <t>147-08-082</t>
  </si>
  <si>
    <t>147-08-074</t>
  </si>
  <si>
    <t>147-08-096</t>
  </si>
  <si>
    <t>147-08-100</t>
  </si>
  <si>
    <t>147-08-012</t>
  </si>
  <si>
    <t>147-08-101</t>
  </si>
  <si>
    <t>147-08-102</t>
  </si>
  <si>
    <t>148-09-029</t>
  </si>
  <si>
    <t>148-09-030</t>
  </si>
  <si>
    <t>147-12-043</t>
  </si>
  <si>
    <t>147-12-064</t>
  </si>
  <si>
    <t>147-12-045</t>
  </si>
  <si>
    <t>147-12-063</t>
  </si>
  <si>
    <t>147-12-046</t>
  </si>
  <si>
    <t>147-12-044</t>
  </si>
  <si>
    <t>148-01-036</t>
  </si>
  <si>
    <t>148-01-037</t>
  </si>
  <si>
    <t>148-01-038</t>
  </si>
  <si>
    <t>148-01-039</t>
  </si>
  <si>
    <t>148-01-040</t>
  </si>
  <si>
    <t>148-01-041</t>
  </si>
  <si>
    <t>147-04-046</t>
  </si>
  <si>
    <t>148-01-042</t>
  </si>
  <si>
    <t>148-01-043</t>
  </si>
  <si>
    <t>148-01-044</t>
  </si>
  <si>
    <t>148-01-045</t>
  </si>
  <si>
    <t>148-01-046</t>
  </si>
  <si>
    <t>148-01-047</t>
  </si>
  <si>
    <t>148-01-048</t>
  </si>
  <si>
    <t>148-01-072</t>
  </si>
  <si>
    <t>148-01-090</t>
  </si>
  <si>
    <t>148-05-001</t>
  </si>
  <si>
    <t>148-05-002</t>
  </si>
  <si>
    <t>148-05-003</t>
  </si>
  <si>
    <t>148-05-004</t>
  </si>
  <si>
    <t>148-05-007</t>
  </si>
  <si>
    <t>148-05-009</t>
  </si>
  <si>
    <t>148-05-008</t>
  </si>
  <si>
    <t>148-05-010</t>
  </si>
  <si>
    <t>148-05-012</t>
  </si>
  <si>
    <t>148-05-011</t>
  </si>
  <si>
    <t>148-05-013</t>
  </si>
  <si>
    <t>148-05-097</t>
  </si>
  <si>
    <t>147-04-104</t>
  </si>
  <si>
    <t>9/10</t>
  </si>
  <si>
    <t>9/10/13/14</t>
  </si>
  <si>
    <t>13/14</t>
  </si>
  <si>
    <t>22/23</t>
  </si>
  <si>
    <t>19/20</t>
  </si>
  <si>
    <t>17/18</t>
  </si>
  <si>
    <t>13/14/17/18</t>
  </si>
  <si>
    <t>9/10/11/12/13/14</t>
  </si>
  <si>
    <t>11/12</t>
  </si>
  <si>
    <t>9/10/11/12</t>
  </si>
  <si>
    <t>13/14/15/16</t>
  </si>
  <si>
    <t>15/16</t>
  </si>
  <si>
    <t>WALLACE RD</t>
  </si>
  <si>
    <t>FAULKNER DR</t>
  </si>
  <si>
    <t>WILLOW LN</t>
  </si>
  <si>
    <t>HUMBER DR</t>
  </si>
  <si>
    <t>FOLEY DR</t>
  </si>
  <si>
    <t>TORBAY DR</t>
  </si>
  <si>
    <t>WALLACE COURT</t>
  </si>
  <si>
    <t>WALES DR</t>
  </si>
  <si>
    <t>WALES CT</t>
  </si>
  <si>
    <t>HOPEDALE DR</t>
  </si>
  <si>
    <t>HOLLIS HILL DR</t>
  </si>
  <si>
    <t>CARAWAY DR</t>
  </si>
  <si>
    <t>TURLEY DR</t>
  </si>
  <si>
    <t>LEOPOLE RD</t>
  </si>
  <si>
    <t>WALLACE Road</t>
  </si>
  <si>
    <t>CCTV, JC</t>
  </si>
  <si>
    <t>CCTV; IR (3)</t>
  </si>
  <si>
    <t>IR (1)</t>
  </si>
  <si>
    <t>S-LTV</t>
  </si>
  <si>
    <t>S-PR, IR (2)</t>
  </si>
  <si>
    <t>CIPP; S-PR(2), IR (4)</t>
  </si>
  <si>
    <t>S-LTV (1)</t>
  </si>
  <si>
    <t>CIPP, S-PR (4), IR (8)</t>
  </si>
  <si>
    <t>CIPP, S-PR (2), IR (4)</t>
  </si>
  <si>
    <t>S-LL (1)</t>
  </si>
  <si>
    <t>S-LTV (2)</t>
  </si>
  <si>
    <t>S-LTV(1)</t>
  </si>
  <si>
    <t>CCTV, S-PR (1), IR (2)</t>
  </si>
  <si>
    <t>CCTV, JC, EX (1), S-PR (1), IR (2)</t>
  </si>
  <si>
    <t xml:space="preserve"> CCTV; JC; EX (2)</t>
  </si>
  <si>
    <t>S-PR (2), IR (4)</t>
  </si>
  <si>
    <t>CCTV, JC, S-PR(2), IR (4)</t>
  </si>
  <si>
    <t>CIPP, S-PR(4), IR (8)</t>
  </si>
  <si>
    <t>CIPP, S-PR (3), IR (6)</t>
  </si>
  <si>
    <t>CIPP, EX, S-PR (1), IR (2)</t>
  </si>
  <si>
    <t xml:space="preserve"> JC, CIPP, S-PR(1), IR (2)</t>
  </si>
  <si>
    <t>CIPP, S-PR(5), IR (10)</t>
  </si>
  <si>
    <t>CCTV, S-PR (2), IR (4), S-LTV (3)</t>
  </si>
  <si>
    <t xml:space="preserve"> CIPP</t>
  </si>
  <si>
    <t>CCTV,  JC, S-PR(2), IR (4)</t>
  </si>
  <si>
    <t>CIPP, JC, S-PR(3), IR (6)</t>
  </si>
  <si>
    <t>CCTV, JC, S-PR (1), IR (2)</t>
  </si>
  <si>
    <t>CCTV, IR(2)</t>
  </si>
  <si>
    <t>IR (3)</t>
  </si>
  <si>
    <t xml:space="preserve"> S-PR(1); IR(2); S-LTV (1) for service being relocated to MH; New MH as noted</t>
  </si>
  <si>
    <t>S-PR(1), IR (2)</t>
  </si>
  <si>
    <t>EX(3); S-PR(3); IR(6)</t>
  </si>
  <si>
    <t>CIPP, S-PR(7), IR (12)</t>
  </si>
  <si>
    <t>CIPP; S-PR(1), IR (2)</t>
  </si>
  <si>
    <t>Abbreviations for Sheet C-2</t>
  </si>
  <si>
    <t>C</t>
  </si>
  <si>
    <t>Capped</t>
  </si>
  <si>
    <t>Unknown</t>
  </si>
  <si>
    <t>R</t>
  </si>
  <si>
    <t>Right</t>
  </si>
  <si>
    <t>Left</t>
  </si>
  <si>
    <t>Closed Circuit Television</t>
  </si>
  <si>
    <t>Polyvinyl Chloride</t>
  </si>
  <si>
    <t>Cured-In-Place-Pipe</t>
  </si>
  <si>
    <t>Vitrified Clay Pipe</t>
  </si>
  <si>
    <t>EX</t>
  </si>
  <si>
    <t>External Point Repair</t>
  </si>
  <si>
    <t>Internal Main Line CIPP Point Repair</t>
  </si>
  <si>
    <t>SD</t>
  </si>
  <si>
    <t>Smoke Defect</t>
  </si>
  <si>
    <t>JC</t>
  </si>
  <si>
    <t>Jet Cleaning</t>
  </si>
  <si>
    <t>FM</t>
  </si>
  <si>
    <t>Force Main</t>
  </si>
  <si>
    <t>SR-U</t>
  </si>
  <si>
    <t>Service Repair - Unknown Repair Method, determine in field with Construction Manager</t>
  </si>
  <si>
    <t>SR-PR</t>
  </si>
  <si>
    <t>Service Repair - External Point Repair</t>
  </si>
  <si>
    <t>SR-LL</t>
  </si>
  <si>
    <t>Service Repair - Lateral Lining</t>
  </si>
  <si>
    <t>CO-A</t>
  </si>
  <si>
    <t>Cleanout Cap Repair - Install cleanout box and threaded PVC cleanout adapter with plug including any necessary fittings required for re-connecting to existing pipe</t>
  </si>
  <si>
    <t>CO-B</t>
  </si>
  <si>
    <t>Cleanout Assembly Repair - Replace tee wye and vertical cleanout sewer pipe to grade including new cleanout adapter and cleanout box</t>
  </si>
  <si>
    <t>N/A</t>
  </si>
  <si>
    <t>Not applicable</t>
  </si>
  <si>
    <t>MH</t>
  </si>
  <si>
    <t>Manhole</t>
  </si>
  <si>
    <t>Ductile Iron Pipe</t>
  </si>
  <si>
    <t>Downstream Manhole</t>
  </si>
  <si>
    <t>Upstream Manhole</t>
  </si>
  <si>
    <t>P</t>
  </si>
  <si>
    <t>Plug abandoned sewer line from inside MH</t>
  </si>
  <si>
    <t>CCTV; IR (1)</t>
  </si>
  <si>
    <t>CCTV; IR</t>
  </si>
  <si>
    <t>CCTV; S-PR, IR (2)</t>
  </si>
  <si>
    <t>CCTV; S-PR (2), IR (4)</t>
  </si>
  <si>
    <t>CCTV; S-PR(1); IR(2); S-LTV (1) for service being relocated to MH; New MH as noted</t>
  </si>
  <si>
    <t>CCTV; S-PR(1), IR (2)</t>
  </si>
  <si>
    <t>CCTV; EX(3); S-PR(3); IR(6)</t>
  </si>
  <si>
    <t>Drive</t>
  </si>
  <si>
    <t>CARAWAY</t>
  </si>
  <si>
    <t>FAULKNER</t>
  </si>
  <si>
    <t xml:space="preserve">FOLEY </t>
  </si>
  <si>
    <t>HOLLIS HILL</t>
  </si>
  <si>
    <t xml:space="preserve">HOPEDALE </t>
  </si>
  <si>
    <t>HUMBER</t>
  </si>
  <si>
    <t>TORBAY</t>
  </si>
  <si>
    <t>TURLEY</t>
  </si>
  <si>
    <t>WALES</t>
  </si>
  <si>
    <t>Road</t>
  </si>
  <si>
    <t>LEOPOLE</t>
  </si>
  <si>
    <t>Court</t>
  </si>
  <si>
    <t xml:space="preserve">WALES </t>
  </si>
  <si>
    <t>WALLACE</t>
  </si>
  <si>
    <t>Lane</t>
  </si>
  <si>
    <t>WILLOW</t>
  </si>
  <si>
    <t>147-08-058</t>
  </si>
  <si>
    <t>147-04-061</t>
  </si>
  <si>
    <t>147-04-062</t>
  </si>
  <si>
    <t>147-04-064</t>
  </si>
  <si>
    <t>147-04-065</t>
  </si>
  <si>
    <t>147-04-067</t>
  </si>
  <si>
    <t>147-04-076</t>
  </si>
  <si>
    <t>B-033</t>
  </si>
  <si>
    <t>B-034</t>
  </si>
  <si>
    <t>147-04-078</t>
  </si>
  <si>
    <t>B-035</t>
  </si>
  <si>
    <t>B-036</t>
  </si>
  <si>
    <t>B-037</t>
  </si>
  <si>
    <t>B-038</t>
  </si>
  <si>
    <t>B-039</t>
  </si>
  <si>
    <t>B-040</t>
  </si>
  <si>
    <t>B-041</t>
  </si>
  <si>
    <t>B-042</t>
  </si>
  <si>
    <t>B-043</t>
  </si>
  <si>
    <t>147-04-094</t>
  </si>
  <si>
    <t>B-044</t>
  </si>
  <si>
    <t>147-04-095</t>
  </si>
  <si>
    <t>B-047</t>
  </si>
  <si>
    <t>B-048</t>
  </si>
  <si>
    <t>B-049</t>
  </si>
  <si>
    <t>B-050</t>
  </si>
  <si>
    <t>B-051</t>
  </si>
  <si>
    <t>B-052</t>
  </si>
  <si>
    <t>B-053</t>
  </si>
  <si>
    <t>B-055</t>
  </si>
  <si>
    <t>B-056</t>
  </si>
  <si>
    <t>B-059</t>
  </si>
  <si>
    <t>B-060</t>
  </si>
  <si>
    <t>B-061</t>
  </si>
  <si>
    <t>B-062</t>
  </si>
  <si>
    <t>B-063</t>
  </si>
  <si>
    <t>B-064</t>
  </si>
  <si>
    <t>B-065</t>
  </si>
  <si>
    <t>147-08-050</t>
  </si>
  <si>
    <t>B-066</t>
  </si>
  <si>
    <t>147-08-051</t>
  </si>
  <si>
    <t>B-067</t>
  </si>
  <si>
    <t>147-08-052</t>
  </si>
  <si>
    <t>B-068</t>
  </si>
  <si>
    <t>B-069</t>
  </si>
  <si>
    <t>B-070</t>
  </si>
  <si>
    <t>B-071</t>
  </si>
  <si>
    <t>B-072</t>
  </si>
  <si>
    <t>B-073</t>
  </si>
  <si>
    <t>B-074</t>
  </si>
  <si>
    <t>B-075</t>
  </si>
  <si>
    <t>B-076</t>
  </si>
  <si>
    <t>B-077</t>
  </si>
  <si>
    <t>B-079</t>
  </si>
  <si>
    <t>147-08-064</t>
  </si>
  <si>
    <t>B-080</t>
  </si>
  <si>
    <t>147-08-065</t>
  </si>
  <si>
    <t>B-081</t>
  </si>
  <si>
    <t>147-08-066</t>
  </si>
  <si>
    <t>B-082</t>
  </si>
  <si>
    <t>B-084</t>
  </si>
  <si>
    <t>147-08-069</t>
  </si>
  <si>
    <t>B-085</t>
  </si>
  <si>
    <t>B-086</t>
  </si>
  <si>
    <t>B-087</t>
  </si>
  <si>
    <t>147-08-072</t>
  </si>
  <si>
    <t>B-088</t>
  </si>
  <si>
    <t>B-089</t>
  </si>
  <si>
    <t>B-090</t>
  </si>
  <si>
    <t>147-08-075</t>
  </si>
  <si>
    <t>B-091</t>
  </si>
  <si>
    <t>147-08-076</t>
  </si>
  <si>
    <t>B-092</t>
  </si>
  <si>
    <t>B-093</t>
  </si>
  <si>
    <t>B-094</t>
  </si>
  <si>
    <t>147-08-079</t>
  </si>
  <si>
    <t>B-097</t>
  </si>
  <si>
    <t>B-098</t>
  </si>
  <si>
    <t>B-100</t>
  </si>
  <si>
    <t>B-101</t>
  </si>
  <si>
    <t>147-08-099</t>
  </si>
  <si>
    <t>B-103</t>
  </si>
  <si>
    <t>B-104</t>
  </si>
  <si>
    <t>B-108</t>
  </si>
  <si>
    <t>B-109</t>
  </si>
  <si>
    <t>B-110</t>
  </si>
  <si>
    <t>B-113</t>
  </si>
  <si>
    <t>147-12-048</t>
  </si>
  <si>
    <t>B-115</t>
  </si>
  <si>
    <t>147-12-052</t>
  </si>
  <si>
    <t>B-119</t>
  </si>
  <si>
    <t>147-12-057</t>
  </si>
  <si>
    <t>B-122</t>
  </si>
  <si>
    <t>147-12-062</t>
  </si>
  <si>
    <t>B-123</t>
  </si>
  <si>
    <t>B-124</t>
  </si>
  <si>
    <t>B-126</t>
  </si>
  <si>
    <t>B-127</t>
  </si>
  <si>
    <t>B-128</t>
  </si>
  <si>
    <t>B-129</t>
  </si>
  <si>
    <t>B-130</t>
  </si>
  <si>
    <t>B-131</t>
  </si>
  <si>
    <t>B-132</t>
  </si>
  <si>
    <t>B-133</t>
  </si>
  <si>
    <t>B-134</t>
  </si>
  <si>
    <t>B-135</t>
  </si>
  <si>
    <t>B-140</t>
  </si>
  <si>
    <t>B-142</t>
  </si>
  <si>
    <t>B-143</t>
  </si>
  <si>
    <t>B-144</t>
  </si>
  <si>
    <t>B-145</t>
  </si>
  <si>
    <t>148-05-005</t>
  </si>
  <si>
    <t>B-146</t>
  </si>
  <si>
    <t>148-05-006</t>
  </si>
  <si>
    <t>B-147</t>
  </si>
  <si>
    <t>B-148</t>
  </si>
  <si>
    <t>B-152</t>
  </si>
  <si>
    <t>B-153</t>
  </si>
  <si>
    <t>B-154</t>
  </si>
  <si>
    <t>B-155</t>
  </si>
  <si>
    <t>148-05-098</t>
  </si>
  <si>
    <t>B-156</t>
  </si>
  <si>
    <t>B-157</t>
  </si>
  <si>
    <t>HAYWOOD LN</t>
  </si>
  <si>
    <t>CARAWAY LANE</t>
  </si>
  <si>
    <t>FAULKNER PLACE</t>
  </si>
  <si>
    <t>G</t>
  </si>
  <si>
    <t>K</t>
  </si>
  <si>
    <t>L; A1</t>
  </si>
  <si>
    <t>H</t>
  </si>
  <si>
    <t>G; L</t>
  </si>
  <si>
    <t>L, A2</t>
  </si>
  <si>
    <t>K; C; UED</t>
  </si>
  <si>
    <t>F</t>
  </si>
  <si>
    <t>L; F</t>
  </si>
  <si>
    <t>C; L; G</t>
  </si>
  <si>
    <t>L; A2</t>
  </si>
  <si>
    <t>L; G</t>
  </si>
  <si>
    <t>A2</t>
  </si>
  <si>
    <t>L; H</t>
  </si>
  <si>
    <t xml:space="preserve"> L; G</t>
  </si>
  <si>
    <t>K; G</t>
  </si>
  <si>
    <t>N</t>
  </si>
  <si>
    <t>C; L</t>
  </si>
  <si>
    <t xml:space="preserve"> L</t>
  </si>
  <si>
    <t>L; F; G</t>
  </si>
  <si>
    <t>C; G</t>
  </si>
  <si>
    <t>F; G</t>
  </si>
  <si>
    <t>Smoke Defect at lid</t>
  </si>
  <si>
    <t>PVC Drop</t>
  </si>
  <si>
    <t xml:space="preserve">PVC Drop Not Functional; Unplug existing drop </t>
  </si>
  <si>
    <t>Inside SPS fence; Has lockable alum hatch; has exterior drop</t>
  </si>
  <si>
    <t>MH prevkiously lined w Epoxy</t>
  </si>
  <si>
    <t>MH previously lined w Epoxy.  Some staining is evident.</t>
  </si>
  <si>
    <t>Line w epoxy due to proximity to SPS</t>
  </si>
  <si>
    <t>Drop Present</t>
  </si>
  <si>
    <t>Recheck downstream line to ensure no services.  If none, then abandon &amp; remove MH.. Plug downstream pipe. See plans.</t>
  </si>
  <si>
    <t>Plug line from 147-12-043 after verifying that no services are on upstream line.</t>
  </si>
  <si>
    <t>Abandon MH and add new MH aprox 15' downstream.  See plans</t>
  </si>
  <si>
    <t>C-1</t>
  </si>
  <si>
    <t>C-2</t>
  </si>
  <si>
    <t>C-3</t>
  </si>
  <si>
    <t>C-4</t>
  </si>
  <si>
    <t>C-5</t>
  </si>
  <si>
    <t>C-6</t>
  </si>
  <si>
    <t>C-7</t>
  </si>
  <si>
    <t>C-8</t>
  </si>
  <si>
    <t>C-9</t>
  </si>
  <si>
    <t>C-10</t>
  </si>
  <si>
    <t>C-11</t>
  </si>
  <si>
    <t>C-12</t>
  </si>
  <si>
    <t>C-13</t>
  </si>
  <si>
    <t>C-14</t>
  </si>
  <si>
    <t>C-15</t>
  </si>
  <si>
    <t>C-16</t>
  </si>
  <si>
    <t>C-17</t>
  </si>
  <si>
    <t>C-18</t>
  </si>
  <si>
    <t>C-19</t>
  </si>
  <si>
    <t>C-20</t>
  </si>
  <si>
    <t>C-21</t>
  </si>
  <si>
    <t>C-22</t>
  </si>
  <si>
    <t>C-23</t>
  </si>
  <si>
    <t>C-24</t>
  </si>
  <si>
    <t>C-25</t>
  </si>
  <si>
    <t>15/16/19/20</t>
  </si>
  <si>
    <t>147-01-046</t>
  </si>
  <si>
    <t>147-08-097</t>
  </si>
  <si>
    <t>147-12-053</t>
  </si>
  <si>
    <t>147-08-080</t>
  </si>
  <si>
    <t>147-08-081</t>
  </si>
  <si>
    <t>147-12-055</t>
  </si>
  <si>
    <t>147-12-054</t>
  </si>
  <si>
    <t>147-12-051</t>
  </si>
  <si>
    <t>Wallace Road</t>
  </si>
  <si>
    <t>Faulkner Dr</t>
  </si>
  <si>
    <t>Hollis Hill Dr</t>
  </si>
  <si>
    <t>Wales Dr</t>
  </si>
  <si>
    <t>Wales Ct</t>
  </si>
  <si>
    <t>Willow Dr</t>
  </si>
  <si>
    <t>Torbay</t>
  </si>
  <si>
    <t>Hopedale Dr</t>
  </si>
  <si>
    <t>Provide new cleanout cap</t>
  </si>
  <si>
    <t>Repair cleanout assembly</t>
  </si>
  <si>
    <t>Repair cleanout assembly &amp; box</t>
  </si>
  <si>
    <t>Replace existing cleanout cap</t>
  </si>
  <si>
    <t>Remove defective stack piece; lower cleanout cap to grade and place in box</t>
  </si>
  <si>
    <t>Replace existing solid cleanout cap</t>
  </si>
  <si>
    <t>CCTV lateral and confirm defect.  Repair cleanout assembly</t>
  </si>
  <si>
    <t>CCTV lateral and confirm defect.  Repair lateral defect(s)</t>
  </si>
  <si>
    <t>Replace broken cleanout lid</t>
  </si>
  <si>
    <t>Smoke coming from CO with missing cap</t>
  </si>
  <si>
    <t>Smoke coming from cleanout box</t>
  </si>
  <si>
    <t>Smoke coming from broken cleanout</t>
  </si>
  <si>
    <t>Smoke coming from broken cleanout with broken lid</t>
  </si>
  <si>
    <t>Smoke coming from cleanout with missing cap</t>
  </si>
  <si>
    <t>Smoke coming from cleanout adjacent to fdn</t>
  </si>
  <si>
    <t>Smoke from broken cleanout stack</t>
  </si>
  <si>
    <t>Smoke coming from slotted cleanout cap</t>
  </si>
  <si>
    <t>Smoke coming from below cleanout cap</t>
  </si>
  <si>
    <t>Smoke coming from lateral</t>
  </si>
  <si>
    <t>Yard</t>
  </si>
  <si>
    <t>Exposed Aggregate Concrete Drive</t>
  </si>
  <si>
    <t>A-201</t>
  </si>
  <si>
    <t>A-202</t>
  </si>
  <si>
    <t>A-203</t>
  </si>
  <si>
    <t>A-204</t>
  </si>
  <si>
    <t>A-205</t>
  </si>
  <si>
    <t>A-206</t>
  </si>
  <si>
    <t>A-207</t>
  </si>
  <si>
    <t>A-208</t>
  </si>
  <si>
    <t>A-209</t>
  </si>
  <si>
    <t>A-210</t>
  </si>
  <si>
    <t>A-211</t>
  </si>
  <si>
    <t>A-212</t>
  </si>
  <si>
    <t>A-213</t>
  </si>
  <si>
    <t>A-214</t>
  </si>
  <si>
    <t>A-215</t>
  </si>
  <si>
    <t>A-216</t>
  </si>
  <si>
    <t>A-217</t>
  </si>
  <si>
    <t>A-218</t>
  </si>
  <si>
    <t>A-219</t>
  </si>
  <si>
    <t>A-220</t>
  </si>
  <si>
    <t>A-221</t>
  </si>
  <si>
    <t>A-222</t>
  </si>
  <si>
    <t>A-223</t>
  </si>
  <si>
    <t>A-224</t>
  </si>
  <si>
    <t>A-225</t>
  </si>
  <si>
    <t>A-226</t>
  </si>
  <si>
    <t>Ave</t>
  </si>
  <si>
    <t>BLVD</t>
  </si>
  <si>
    <t>ELISSA/DABBS</t>
  </si>
  <si>
    <t xml:space="preserve">ELISSA </t>
  </si>
  <si>
    <t xml:space="preserve">KAREN </t>
  </si>
  <si>
    <t xml:space="preserve">PATRICIA </t>
  </si>
  <si>
    <t xml:space="preserve">FIVE OAKS </t>
  </si>
  <si>
    <t xml:space="preserve">MASSMAN </t>
  </si>
  <si>
    <t>B-201</t>
  </si>
  <si>
    <t>B-202</t>
  </si>
  <si>
    <t>B-203</t>
  </si>
  <si>
    <t>B-204</t>
  </si>
  <si>
    <t>B-205</t>
  </si>
  <si>
    <t>B-206</t>
  </si>
  <si>
    <t>B-207</t>
  </si>
  <si>
    <t>B-208</t>
  </si>
  <si>
    <t>B-209</t>
  </si>
  <si>
    <t>B-210</t>
  </si>
  <si>
    <t>B-211</t>
  </si>
  <si>
    <t>B-212</t>
  </si>
  <si>
    <t>B-213</t>
  </si>
  <si>
    <t>B-214</t>
  </si>
  <si>
    <t>B-215</t>
  </si>
  <si>
    <t>B-216</t>
  </si>
  <si>
    <t>B-217</t>
  </si>
  <si>
    <t>B-218</t>
  </si>
  <si>
    <t>B-219</t>
  </si>
  <si>
    <t>B-220</t>
  </si>
  <si>
    <t>B-221</t>
  </si>
  <si>
    <t>B-222</t>
  </si>
  <si>
    <t>B-223</t>
  </si>
  <si>
    <t>B-224</t>
  </si>
  <si>
    <t>B-225</t>
  </si>
  <si>
    <t>B-226</t>
  </si>
  <si>
    <t>B-227</t>
  </si>
  <si>
    <t>B-228</t>
  </si>
  <si>
    <t>B-229</t>
  </si>
  <si>
    <t>B-230</t>
  </si>
  <si>
    <t>B-231</t>
  </si>
  <si>
    <t>B-232</t>
  </si>
  <si>
    <t>Hard Tape Length</t>
  </si>
  <si>
    <t>Service Count</t>
  </si>
  <si>
    <t>US MH Depth</t>
  </si>
  <si>
    <t>US MH Diameter</t>
  </si>
  <si>
    <t>DS MH Depth</t>
  </si>
  <si>
    <t xml:space="preserve">DS MH Diameter </t>
  </si>
  <si>
    <t>Mainline Material</t>
  </si>
  <si>
    <t>Status</t>
  </si>
  <si>
    <t>Bid Item Number</t>
  </si>
  <si>
    <t>Pre-TV Notes</t>
  </si>
  <si>
    <t>BLD Services, LLC - PRODUCTION &amp; REVENUE REPORT</t>
  </si>
  <si>
    <t>Week Ending</t>
  </si>
  <si>
    <t>Clean &amp; CCTV</t>
  </si>
  <si>
    <t>Job Name:</t>
  </si>
  <si>
    <t>Job Number:</t>
  </si>
  <si>
    <t>Job Location:</t>
  </si>
  <si>
    <t>Superintendent:</t>
  </si>
  <si>
    <t>GIBBS</t>
  </si>
  <si>
    <t>Inventory Usage</t>
  </si>
  <si>
    <t>VIDEO DETAILS</t>
  </si>
  <si>
    <t>Tube</t>
  </si>
  <si>
    <t>Resin</t>
  </si>
  <si>
    <t>Collar</t>
  </si>
  <si>
    <t>Sewer Type</t>
  </si>
  <si>
    <t>Street  Easement</t>
  </si>
  <si>
    <t>LS / Area / Segment # / Repair #</t>
  </si>
  <si>
    <t>UPS MH #</t>
  </si>
  <si>
    <t>DWNS MH #</t>
  </si>
  <si>
    <t>House Number</t>
  </si>
  <si>
    <t>Repair Location</t>
  </si>
  <si>
    <t>Bid   Item Number</t>
  </si>
  <si>
    <t>Activity</t>
  </si>
  <si>
    <t>Mainline Diameter</t>
  </si>
  <si>
    <t>Lateral Diameter</t>
  </si>
  <si>
    <t>Length</t>
  </si>
  <si>
    <t>Quantity</t>
  </si>
  <si>
    <t>Unit   Price</t>
  </si>
  <si>
    <t>Extended Total</t>
  </si>
  <si>
    <t>Have Video  ?</t>
  </si>
  <si>
    <t>Reviewed ?</t>
  </si>
  <si>
    <t>COMMENTS</t>
  </si>
  <si>
    <t>Diameter</t>
  </si>
  <si>
    <t>Mil</t>
  </si>
  <si>
    <t>% cut</t>
  </si>
  <si>
    <t>add'l info (if needed)</t>
  </si>
  <si>
    <t>Tube (ft)</t>
  </si>
  <si>
    <t>Resin Type</t>
  </si>
  <si>
    <t>Resin (lbs)</t>
  </si>
  <si>
    <t>Collar Type</t>
  </si>
  <si>
    <t>Collar (ea)</t>
  </si>
  <si>
    <t>SUNDAY</t>
  </si>
  <si>
    <t>MONDAY</t>
  </si>
  <si>
    <t>TUESDAY</t>
  </si>
  <si>
    <t>WEDNESDAY</t>
  </si>
  <si>
    <t>THURSDAY</t>
  </si>
  <si>
    <t>FRIDAY</t>
  </si>
  <si>
    <t>SATURDAY</t>
  </si>
  <si>
    <t>TOTAL</t>
  </si>
  <si>
    <t>Comments on Job Status:</t>
  </si>
  <si>
    <t>Tube diameter</t>
  </si>
  <si>
    <t>Tube Milage</t>
  </si>
  <si>
    <t>add'l info if needed</t>
  </si>
  <si>
    <t>resin</t>
  </si>
  <si>
    <t>collar</t>
  </si>
  <si>
    <t>reviewed videos</t>
  </si>
  <si>
    <t>Additional Footage</t>
  </si>
  <si>
    <t>4"</t>
  </si>
  <si>
    <t>Street</t>
  </si>
  <si>
    <t>Sanitary Sewer</t>
  </si>
  <si>
    <t>3.75"</t>
  </si>
  <si>
    <t>3 mm</t>
  </si>
  <si>
    <t>applied felt</t>
  </si>
  <si>
    <t>Polyester 201</t>
  </si>
  <si>
    <t>8" x 4" x 60deg</t>
  </si>
  <si>
    <t>YES</t>
  </si>
  <si>
    <t>Brush Taps</t>
  </si>
  <si>
    <t>5"</t>
  </si>
  <si>
    <t>Easement</t>
  </si>
  <si>
    <t>Storm Sewer</t>
  </si>
  <si>
    <t>4.5 mm</t>
  </si>
  <si>
    <t>2 layer</t>
  </si>
  <si>
    <t>Vinyl Ester</t>
  </si>
  <si>
    <t>8" x 4" x 90deg</t>
  </si>
  <si>
    <t>NO</t>
  </si>
  <si>
    <t>Bypass</t>
  </si>
  <si>
    <t>6"</t>
  </si>
  <si>
    <t>Alley Way</t>
  </si>
  <si>
    <t>5 mm</t>
  </si>
  <si>
    <t>2 layer pull in</t>
  </si>
  <si>
    <t>8" x 6" x 60deg</t>
  </si>
  <si>
    <t>Clean &amp; Video</t>
  </si>
  <si>
    <t>7.5"</t>
  </si>
  <si>
    <t>5.5"</t>
  </si>
  <si>
    <t>6 mm</t>
  </si>
  <si>
    <t>2 layer inversion tube</t>
  </si>
  <si>
    <t>8" x 6" x 90deg</t>
  </si>
  <si>
    <t>Clean Only</t>
  </si>
  <si>
    <t>8"</t>
  </si>
  <si>
    <t>5.875"</t>
  </si>
  <si>
    <t>7.5 mm</t>
  </si>
  <si>
    <t>dense</t>
  </si>
  <si>
    <t>Cleanout Shot</t>
  </si>
  <si>
    <t>10"</t>
  </si>
  <si>
    <t>9 mm</t>
  </si>
  <si>
    <t>Coupon Removal</t>
  </si>
  <si>
    <t>12"</t>
  </si>
  <si>
    <t>7.375"</t>
  </si>
  <si>
    <t>Cut Taps</t>
  </si>
  <si>
    <t>15"</t>
  </si>
  <si>
    <t>Cut/Brush Taps</t>
  </si>
  <si>
    <t>16"</t>
  </si>
  <si>
    <t>7.75"</t>
  </si>
  <si>
    <t>Drop Invert</t>
  </si>
  <si>
    <t>18"</t>
  </si>
  <si>
    <t>Flagman</t>
  </si>
  <si>
    <t>21"</t>
  </si>
  <si>
    <t>9.5"</t>
  </si>
  <si>
    <t>Install Cleanout in Grass</t>
  </si>
  <si>
    <t>24"</t>
  </si>
  <si>
    <t>Internal Point Repair</t>
  </si>
  <si>
    <t>27"</t>
  </si>
  <si>
    <t>11.25"</t>
  </si>
  <si>
    <t>Lateral Post Video</t>
  </si>
  <si>
    <t>30"</t>
  </si>
  <si>
    <t>11.5"</t>
  </si>
  <si>
    <t>Lateral Pre Video</t>
  </si>
  <si>
    <t>Lateral Prep Video</t>
  </si>
  <si>
    <t>14.25"</t>
  </si>
  <si>
    <t>Lateral Launch</t>
  </si>
  <si>
    <t>Lower Cleanout on CIPPL Rehab</t>
  </si>
  <si>
    <t>Lower Existing Cleanout</t>
  </si>
  <si>
    <t>Main Post Video</t>
  </si>
  <si>
    <t>Main Pre Video</t>
  </si>
  <si>
    <t>Mobilization</t>
  </si>
  <si>
    <t>Obstruction Removal</t>
  </si>
  <si>
    <t>Protruding Tap</t>
  </si>
  <si>
    <t>Pull In</t>
  </si>
  <si>
    <t>Root Removal</t>
  </si>
  <si>
    <t>SCS+L - Brim Short Lateral</t>
  </si>
  <si>
    <t>SCS+L - Brim Long Lateral</t>
  </si>
  <si>
    <t>SCS+L - Full Wrap Short Lateral</t>
  </si>
  <si>
    <t>SCS+L - Full Wrap Long Lateral</t>
  </si>
  <si>
    <t>Service Line Point Repair in Grass</t>
  </si>
  <si>
    <t>Set Up</t>
  </si>
  <si>
    <t>Slug Removal</t>
  </si>
  <si>
    <t>Spot Repair (Felt)</t>
  </si>
  <si>
    <t>Spot Repair (Fiberglass)</t>
  </si>
  <si>
    <t>Traffic set up</t>
  </si>
  <si>
    <t>Video Only</t>
  </si>
  <si>
    <t>Nashville - Hopedale Rehabilitation (Inliner)</t>
  </si>
  <si>
    <t xml:space="preserve">Nashville TN </t>
  </si>
  <si>
    <t>5.5'</t>
  </si>
  <si>
    <t>6'</t>
  </si>
  <si>
    <t>Upstream</t>
  </si>
  <si>
    <t>NA</t>
  </si>
  <si>
    <t>Ready to Line</t>
  </si>
  <si>
    <t>USMH 147-04-057 / BURIED - SONDE/LOCATED MARKED IN ROAD 7' DEEP</t>
  </si>
  <si>
    <t>BURIED</t>
  </si>
  <si>
    <t>Needs Attention</t>
  </si>
  <si>
    <t>B-3</t>
  </si>
  <si>
    <t>7.2'</t>
  </si>
  <si>
    <t>Downstream</t>
  </si>
  <si>
    <t>5.9'</t>
  </si>
  <si>
    <t>72.8' TOTAL FEET OF PIPE HAS DEEP CRACKS AND BROKEN AREAS /  FROM 93.3'-166.1' FROM DSMH 147-04-052</t>
  </si>
  <si>
    <t>5.6'</t>
  </si>
  <si>
    <t>MATERIAL SETTLED/BONDED TO PIPE 1-2' FROM USMH 148-01-039 / INFILTRATION 124.6' FROM DSMH 147-04-053</t>
  </si>
  <si>
    <t>Willow Ln</t>
  </si>
  <si>
    <t>5.4'</t>
  </si>
  <si>
    <t>6.5'</t>
  </si>
  <si>
    <t>8.2'</t>
  </si>
  <si>
    <t>6.7'</t>
  </si>
  <si>
    <t>Previously Lined</t>
  </si>
  <si>
    <t>12'</t>
  </si>
  <si>
    <t>4'</t>
  </si>
  <si>
    <t>9.9'</t>
  </si>
  <si>
    <t>4.5'</t>
  </si>
  <si>
    <t>Wallace rd</t>
  </si>
  <si>
    <t>MH Sonde &amp; Locate</t>
  </si>
  <si>
    <t>B-55</t>
  </si>
  <si>
    <t>7.9'</t>
  </si>
  <si>
    <t>8.5'</t>
  </si>
  <si>
    <t>9.5'</t>
  </si>
  <si>
    <t>7.7'</t>
  </si>
  <si>
    <t>4/6/226</t>
  </si>
  <si>
    <t>7.8'</t>
  </si>
  <si>
    <t>10.5'</t>
  </si>
  <si>
    <t>11'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</si>
</sst>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mm/dd/yy;@"/>
    <numFmt numFmtId="165" formatCode="dd\-mmm\-yy"/>
    <numFmt numFmtId="166" formatCode="0.0"/>
    <numFmt numFmtId="167" formatCode="000"/>
  </numFmts>
  <fonts count="1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8"/>
      <name val="Arial"/>
      <family val="2"/>
    </font>
    <font>
      <b/>
      <sz val="22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0"/>
      <name val="Arial"/>
      <family val="2"/>
    </font>
    <font>
      <b/>
      <sz val="12"/>
      <color indexed="10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sz val="12"/>
      <name val="Arial"/>
      <family val="2"/>
    </font>
    <font>
      <sz val="8"/>
      <name val="Arial"/>
      <family val="2"/>
    </font>
    <font>
      <b/>
      <sz val="11"/>
      <name val="Arial"/>
      <family val="2"/>
    </font>
    <font>
      <b/>
      <sz val="14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/>
      <bottom style="thin">
        <color indexed="64"/>
      </bottom>
      <diagonal/>
    </border>
    <border>
      <left style="medium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">
    <xf numFmtId="0" fontId="0" fillId="0" borderId="0"/>
    <xf numFmtId="9" fontId="5" fillId="0" borderId="0" applyFont="0" applyFill="0" applyBorder="0" applyAlignment="0" applyProtection="0"/>
    <xf numFmtId="0" fontId="5" fillId="0" borderId="0"/>
    <xf numFmtId="44" fontId="5" fillId="0" borderId="0" applyFont="0" applyFill="0" applyBorder="0" applyAlignment="0" applyProtection="0"/>
  </cellStyleXfs>
  <cellXfs count="264">
    <xf numFmtId="0" fontId="0" fillId="0" borderId="0" xfId="0"/>
    <xf numFmtId="0" fontId="0" fillId="2" borderId="7" xfId="0" applyFill="1" applyBorder="1" applyAlignment="1" applyProtection="1">
      <alignment horizontal="center" vertical="center" wrapText="1"/>
      <protection locked="0"/>
    </xf>
    <xf numFmtId="1" fontId="0" fillId="2" borderId="8" xfId="0" applyNumberFormat="1" applyFill="1" applyBorder="1" applyAlignment="1" applyProtection="1">
      <alignment horizontal="center" vertical="center" wrapText="1"/>
      <protection locked="0"/>
    </xf>
    <xf numFmtId="1" fontId="0" fillId="2" borderId="7" xfId="0" applyNumberFormat="1" applyFill="1" applyBorder="1" applyAlignment="1" applyProtection="1">
      <alignment horizontal="center" vertical="center" wrapText="1"/>
      <protection locked="0"/>
    </xf>
    <xf numFmtId="0" fontId="0" fillId="2" borderId="2" xfId="0" applyFill="1" applyBorder="1" applyAlignment="1" applyProtection="1">
      <alignment horizontal="center" vertical="center" wrapText="1"/>
      <protection locked="0"/>
    </xf>
    <xf numFmtId="14" fontId="0" fillId="2" borderId="10" xfId="0" applyNumberFormat="1" applyFill="1" applyBorder="1" applyAlignment="1" applyProtection="1">
      <alignment horizontal="center" vertical="center" wrapText="1"/>
      <protection locked="0"/>
    </xf>
    <xf numFmtId="0" fontId="0" fillId="2" borderId="11" xfId="0" applyFill="1" applyBorder="1" applyAlignment="1" applyProtection="1">
      <alignment horizontal="center" vertical="center" wrapText="1"/>
      <protection locked="0"/>
    </xf>
    <xf numFmtId="1" fontId="0" fillId="2" borderId="2" xfId="0" applyNumberFormat="1" applyFill="1" applyBorder="1" applyAlignment="1" applyProtection="1">
      <alignment horizontal="center" vertical="center" wrapText="1"/>
      <protection locked="0"/>
    </xf>
    <xf numFmtId="14" fontId="0" fillId="2" borderId="9" xfId="0" applyNumberFormat="1" applyFill="1" applyBorder="1" applyAlignment="1" applyProtection="1">
      <alignment horizontal="center" vertical="center" wrapText="1"/>
      <protection locked="0"/>
    </xf>
    <xf numFmtId="14" fontId="0" fillId="2" borderId="3" xfId="0" applyNumberFormat="1" applyFill="1" applyBorder="1" applyAlignment="1" applyProtection="1">
      <alignment horizontal="center" vertical="center" wrapText="1"/>
      <protection locked="0"/>
    </xf>
    <xf numFmtId="0" fontId="0" fillId="2" borderId="12" xfId="0" applyFill="1" applyBorder="1" applyAlignment="1" applyProtection="1">
      <alignment horizontal="center" vertical="center" wrapText="1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0" fillId="2" borderId="9" xfId="0" applyFill="1" applyBorder="1" applyAlignment="1" applyProtection="1">
      <alignment horizontal="center" vertical="center" wrapText="1"/>
      <protection locked="0"/>
    </xf>
    <xf numFmtId="0" fontId="0" fillId="2" borderId="13" xfId="0" applyFill="1" applyBorder="1" applyAlignment="1" applyProtection="1">
      <alignment horizontal="center" vertical="center" wrapText="1"/>
      <protection locked="0"/>
    </xf>
    <xf numFmtId="0" fontId="0" fillId="2" borderId="10" xfId="0" applyFill="1" applyBorder="1" applyAlignment="1" applyProtection="1">
      <alignment horizontal="center" vertical="center" wrapText="1"/>
      <protection locked="0"/>
    </xf>
    <xf numFmtId="14" fontId="0" fillId="2" borderId="13" xfId="0" applyNumberFormat="1" applyFill="1" applyBorder="1" applyAlignment="1" applyProtection="1">
      <alignment horizontal="center" vertical="center" wrapText="1"/>
      <protection locked="0"/>
    </xf>
    <xf numFmtId="0" fontId="0" fillId="2" borderId="7" xfId="0" applyFill="1" applyBorder="1" applyAlignment="1">
      <alignment horizontal="center" vertical="center" wrapText="1"/>
    </xf>
    <xf numFmtId="14" fontId="1" fillId="2" borderId="13" xfId="0" applyNumberFormat="1" applyFont="1" applyFill="1" applyBorder="1" applyAlignment="1" applyProtection="1">
      <alignment horizontal="center" vertical="center"/>
      <protection locked="0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3" xfId="0" applyFill="1" applyBorder="1" applyAlignment="1" applyProtection="1">
      <alignment horizontal="center" vertical="center" wrapText="1"/>
      <protection locked="0"/>
    </xf>
    <xf numFmtId="14" fontId="0" fillId="2" borderId="7" xfId="0" applyNumberFormat="1" applyFill="1" applyBorder="1" applyAlignment="1" applyProtection="1">
      <alignment horizontal="center" vertical="center" wrapText="1"/>
      <protection locked="0"/>
    </xf>
    <xf numFmtId="0" fontId="1" fillId="2" borderId="10" xfId="0" applyFont="1" applyFill="1" applyBorder="1" applyAlignment="1" applyProtection="1">
      <alignment horizontal="center" vertical="center" wrapText="1"/>
      <protection locked="0"/>
    </xf>
    <xf numFmtId="0" fontId="0" fillId="0" borderId="0" xfId="0" applyAlignment="1">
      <alignment horizontal="center" vertical="center" wrapText="1"/>
    </xf>
    <xf numFmtId="0" fontId="1" fillId="2" borderId="7" xfId="0" applyFont="1" applyFill="1" applyBorder="1" applyAlignment="1" applyProtection="1">
      <alignment horizontal="center" vertical="center" wrapText="1"/>
      <protection locked="0"/>
    </xf>
    <xf numFmtId="2" fontId="0" fillId="2" borderId="13" xfId="0" applyNumberFormat="1" applyFill="1" applyBorder="1" applyAlignment="1" applyProtection="1">
      <alignment horizontal="center" vertical="center" wrapText="1"/>
      <protection locked="0"/>
    </xf>
    <xf numFmtId="2" fontId="0" fillId="2" borderId="9" xfId="0" applyNumberFormat="1" applyFill="1" applyBorder="1" applyAlignment="1" applyProtection="1">
      <alignment horizontal="center" vertical="center" wrapText="1"/>
      <protection locked="0"/>
    </xf>
    <xf numFmtId="2" fontId="0" fillId="2" borderId="10" xfId="0" applyNumberFormat="1" applyFill="1" applyBorder="1" applyAlignment="1" applyProtection="1">
      <alignment horizontal="center" vertical="center" wrapText="1"/>
      <protection locked="0"/>
    </xf>
    <xf numFmtId="14" fontId="0" fillId="0" borderId="0" xfId="0" applyNumberFormat="1" applyAlignment="1">
      <alignment horizontal="center" vertical="center" wrapText="1"/>
    </xf>
    <xf numFmtId="0" fontId="0" fillId="3" borderId="13" xfId="0" applyFill="1" applyBorder="1" applyAlignment="1" applyProtection="1">
      <alignment horizontal="center" vertical="center" wrapText="1"/>
      <protection locked="0"/>
    </xf>
    <xf numFmtId="14" fontId="0" fillId="2" borderId="2" xfId="0" applyNumberFormat="1" applyFill="1" applyBorder="1" applyAlignment="1" applyProtection="1">
      <alignment horizontal="center" vertical="center" wrapText="1"/>
      <protection locked="0"/>
    </xf>
    <xf numFmtId="0" fontId="0" fillId="0" borderId="7" xfId="0" applyBorder="1" applyAlignment="1">
      <alignment horizontal="center" vertical="center" wrapText="1"/>
    </xf>
    <xf numFmtId="14" fontId="0" fillId="0" borderId="7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14" fontId="0" fillId="0" borderId="2" xfId="0" applyNumberFormat="1" applyBorder="1" applyAlignment="1">
      <alignment horizontal="center" vertical="center" wrapText="1"/>
    </xf>
    <xf numFmtId="14" fontId="0" fillId="0" borderId="9" xfId="0" applyNumberFormat="1" applyBorder="1" applyAlignment="1">
      <alignment horizontal="center" vertical="center" wrapText="1"/>
    </xf>
    <xf numFmtId="14" fontId="0" fillId="0" borderId="10" xfId="0" applyNumberFormat="1" applyBorder="1" applyAlignment="1">
      <alignment horizontal="center" vertical="center" wrapText="1"/>
    </xf>
    <xf numFmtId="2" fontId="0" fillId="2" borderId="7" xfId="0" applyNumberFormat="1" applyFill="1" applyBorder="1" applyAlignment="1" applyProtection="1">
      <alignment horizontal="center" vertical="center" wrapText="1"/>
      <protection locked="0"/>
    </xf>
    <xf numFmtId="0" fontId="2" fillId="2" borderId="10" xfId="0" applyFont="1" applyFill="1" applyBorder="1" applyAlignment="1" applyProtection="1">
      <alignment horizontal="center" vertical="center" wrapText="1"/>
      <protection locked="0"/>
    </xf>
    <xf numFmtId="0" fontId="2" fillId="2" borderId="3" xfId="0" applyFont="1" applyFill="1" applyBorder="1" applyAlignment="1" applyProtection="1">
      <alignment horizontal="center" vertical="center" wrapText="1"/>
      <protection locked="0"/>
    </xf>
    <xf numFmtId="0" fontId="2" fillId="2" borderId="11" xfId="0" applyFont="1" applyFill="1" applyBorder="1" applyAlignment="1" applyProtection="1">
      <alignment horizontal="center" vertical="center" wrapText="1"/>
      <protection locked="0"/>
    </xf>
    <xf numFmtId="0" fontId="2" fillId="2" borderId="13" xfId="0" applyFont="1" applyFill="1" applyBorder="1" applyAlignment="1" applyProtection="1">
      <alignment horizontal="center" vertical="center" wrapText="1"/>
      <protection locked="0"/>
    </xf>
    <xf numFmtId="0" fontId="1" fillId="2" borderId="13" xfId="0" applyFont="1" applyFill="1" applyBorder="1" applyAlignment="1" applyProtection="1">
      <alignment horizontal="center" vertical="center" wrapText="1"/>
      <protection locked="0"/>
    </xf>
    <xf numFmtId="14" fontId="2" fillId="2" borderId="10" xfId="0" applyNumberFormat="1" applyFont="1" applyFill="1" applyBorder="1" applyAlignment="1" applyProtection="1">
      <alignment horizontal="center" vertical="center" wrapText="1"/>
      <protection locked="0"/>
    </xf>
    <xf numFmtId="2" fontId="0" fillId="2" borderId="2" xfId="0" applyNumberFormat="1" applyFill="1" applyBorder="1" applyAlignment="1" applyProtection="1">
      <alignment horizontal="center" vertical="center" wrapText="1"/>
      <protection locked="0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0" fontId="0" fillId="2" borderId="14" xfId="0" applyFill="1" applyBorder="1" applyAlignment="1" applyProtection="1">
      <alignment horizontal="center" vertical="center" wrapText="1"/>
      <protection locked="0"/>
    </xf>
    <xf numFmtId="0" fontId="0" fillId="2" borderId="15" xfId="0" applyFill="1" applyBorder="1" applyAlignment="1" applyProtection="1">
      <alignment horizontal="center" vertical="center" wrapText="1"/>
      <protection locked="0"/>
    </xf>
    <xf numFmtId="1" fontId="0" fillId="2" borderId="14" xfId="0" applyNumberFormat="1" applyFill="1" applyBorder="1" applyAlignment="1" applyProtection="1">
      <alignment horizontal="center" vertical="center" wrapText="1"/>
      <protection locked="0"/>
    </xf>
    <xf numFmtId="0" fontId="0" fillId="2" borderId="16" xfId="0" applyFill="1" applyBorder="1" applyAlignment="1" applyProtection="1">
      <alignment horizontal="center" vertical="center" wrapText="1"/>
      <protection locked="0"/>
    </xf>
    <xf numFmtId="14" fontId="0" fillId="2" borderId="6" xfId="0" applyNumberFormat="1" applyFill="1" applyBorder="1" applyAlignment="1" applyProtection="1">
      <alignment horizontal="center" vertical="center" wrapText="1"/>
      <protection locked="0"/>
    </xf>
    <xf numFmtId="0" fontId="0" fillId="3" borderId="17" xfId="0" applyFill="1" applyBorder="1" applyAlignment="1" applyProtection="1">
      <alignment horizontal="center" vertical="center" wrapText="1"/>
      <protection locked="0"/>
    </xf>
    <xf numFmtId="0" fontId="0" fillId="2" borderId="6" xfId="0" applyFill="1" applyBorder="1" applyAlignment="1" applyProtection="1">
      <alignment horizontal="center" vertical="center" wrapText="1"/>
      <protection locked="0"/>
    </xf>
    <xf numFmtId="2" fontId="0" fillId="0" borderId="0" xfId="0" applyNumberFormat="1" applyAlignment="1">
      <alignment horizontal="center" vertical="center" wrapText="1"/>
    </xf>
    <xf numFmtId="164" fontId="0" fillId="2" borderId="9" xfId="0" applyNumberFormat="1" applyFill="1" applyBorder="1" applyAlignment="1" applyProtection="1">
      <alignment horizontal="center" vertical="center" wrapText="1"/>
      <protection locked="0"/>
    </xf>
    <xf numFmtId="1" fontId="0" fillId="4" borderId="8" xfId="0" applyNumberFormat="1" applyFill="1" applyBorder="1" applyAlignment="1">
      <alignment horizontal="center" vertical="center"/>
    </xf>
    <xf numFmtId="1" fontId="0" fillId="4" borderId="7" xfId="0" applyNumberFormat="1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14" fontId="0" fillId="2" borderId="18" xfId="0" applyNumberFormat="1" applyFill="1" applyBorder="1" applyAlignment="1" applyProtection="1">
      <alignment horizontal="center" vertical="center" wrapText="1"/>
      <protection locked="0"/>
    </xf>
    <xf numFmtId="14" fontId="0" fillId="0" borderId="18" xfId="0" applyNumberFormat="1" applyBorder="1" applyAlignment="1">
      <alignment horizontal="center" vertical="center" wrapText="1"/>
    </xf>
    <xf numFmtId="14" fontId="0" fillId="2" borderId="19" xfId="0" applyNumberFormat="1" applyFill="1" applyBorder="1" applyAlignment="1" applyProtection="1">
      <alignment horizontal="center" vertical="center" wrapText="1"/>
      <protection locked="0"/>
    </xf>
    <xf numFmtId="14" fontId="0" fillId="0" borderId="19" xfId="0" applyNumberFormat="1" applyBorder="1" applyAlignment="1">
      <alignment horizontal="center" vertical="center" wrapText="1"/>
    </xf>
    <xf numFmtId="164" fontId="2" fillId="2" borderId="10" xfId="0" applyNumberFormat="1" applyFont="1" applyFill="1" applyBorder="1" applyAlignment="1" applyProtection="1">
      <alignment horizontal="center" vertical="center" wrapText="1"/>
      <protection locked="0"/>
    </xf>
    <xf numFmtId="164" fontId="0" fillId="0" borderId="10" xfId="0" applyNumberFormat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2" fontId="2" fillId="2" borderId="7" xfId="0" applyNumberFormat="1" applyFont="1" applyFill="1" applyBorder="1" applyAlignment="1" applyProtection="1">
      <alignment horizontal="center" vertical="center" wrapText="1"/>
      <protection locked="0"/>
    </xf>
    <xf numFmtId="2" fontId="0" fillId="0" borderId="7" xfId="0" applyNumberFormat="1" applyBorder="1" applyAlignment="1">
      <alignment horizontal="center" vertical="center" wrapText="1"/>
    </xf>
    <xf numFmtId="2" fontId="0" fillId="2" borderId="18" xfId="0" applyNumberFormat="1" applyFill="1" applyBorder="1" applyAlignment="1" applyProtection="1">
      <alignment horizontal="center" vertical="center" wrapText="1"/>
      <protection locked="0"/>
    </xf>
    <xf numFmtId="2" fontId="0" fillId="0" borderId="20" xfId="0" applyNumberFormat="1" applyBorder="1" applyAlignment="1">
      <alignment horizontal="center" vertical="center" wrapText="1"/>
    </xf>
    <xf numFmtId="164" fontId="0" fillId="2" borderId="19" xfId="0" applyNumberFormat="1" applyFill="1" applyBorder="1" applyAlignment="1" applyProtection="1">
      <alignment horizontal="center" vertical="center" wrapText="1"/>
      <protection locked="0"/>
    </xf>
    <xf numFmtId="164" fontId="0" fillId="0" borderId="19" xfId="0" applyNumberFormat="1" applyBorder="1" applyAlignment="1">
      <alignment horizontal="center" vertical="center" wrapText="1"/>
    </xf>
    <xf numFmtId="164" fontId="0" fillId="2" borderId="10" xfId="0" applyNumberFormat="1" applyFill="1" applyBorder="1" applyAlignment="1" applyProtection="1">
      <alignment horizontal="center" vertical="center" wrapText="1"/>
      <protection locked="0"/>
    </xf>
    <xf numFmtId="164" fontId="0" fillId="0" borderId="7" xfId="0" applyNumberFormat="1" applyBorder="1" applyAlignment="1">
      <alignment horizontal="center" vertical="center" wrapText="1"/>
    </xf>
    <xf numFmtId="2" fontId="0" fillId="2" borderId="3" xfId="0" applyNumberFormat="1" applyFill="1" applyBorder="1" applyAlignment="1" applyProtection="1">
      <alignment horizontal="center" vertical="center" wrapText="1"/>
      <protection locked="0"/>
    </xf>
    <xf numFmtId="2" fontId="0" fillId="0" borderId="2" xfId="0" applyNumberFormat="1" applyBorder="1" applyAlignment="1">
      <alignment horizontal="center" vertical="center" wrapText="1"/>
    </xf>
    <xf numFmtId="2" fontId="0" fillId="4" borderId="13" xfId="0" applyNumberFormat="1" applyFill="1" applyBorder="1" applyAlignment="1">
      <alignment horizontal="center" vertical="center"/>
    </xf>
    <xf numFmtId="2" fontId="3" fillId="4" borderId="9" xfId="0" applyNumberFormat="1" applyFont="1" applyFill="1" applyBorder="1" applyAlignment="1">
      <alignment horizontal="center" vertical="center" wrapText="1"/>
    </xf>
    <xf numFmtId="2" fontId="3" fillId="4" borderId="7" xfId="0" applyNumberFormat="1" applyFont="1" applyFill="1" applyBorder="1" applyAlignment="1">
      <alignment horizontal="center" vertical="center" wrapText="1"/>
    </xf>
    <xf numFmtId="2" fontId="0" fillId="4" borderId="11" xfId="0" applyNumberFormat="1" applyFill="1" applyBorder="1" applyAlignment="1">
      <alignment horizontal="center" vertical="center" wrapText="1"/>
    </xf>
    <xf numFmtId="0" fontId="2" fillId="2" borderId="18" xfId="0" applyFont="1" applyFill="1" applyBorder="1" applyAlignment="1" applyProtection="1">
      <alignment horizontal="center" vertical="center" wrapText="1"/>
      <protection locked="0"/>
    </xf>
    <xf numFmtId="0" fontId="0" fillId="0" borderId="20" xfId="0" applyBorder="1" applyAlignment="1">
      <alignment horizontal="center" vertical="center" wrapText="1"/>
    </xf>
    <xf numFmtId="0" fontId="2" fillId="2" borderId="8" xfId="0" applyFont="1" applyFill="1" applyBorder="1" applyAlignment="1" applyProtection="1">
      <alignment horizontal="center" vertical="center" wrapText="1"/>
      <protection locked="0"/>
    </xf>
    <xf numFmtId="0" fontId="0" fillId="0" borderId="8" xfId="0" applyBorder="1" applyAlignment="1">
      <alignment horizontal="center" vertical="center" wrapText="1"/>
    </xf>
    <xf numFmtId="0" fontId="1" fillId="2" borderId="9" xfId="0" applyFont="1" applyFill="1" applyBorder="1" applyAlignment="1" applyProtection="1">
      <alignment horizontal="center" vertical="center" wrapText="1"/>
      <protection locked="0"/>
    </xf>
    <xf numFmtId="164" fontId="0" fillId="0" borderId="9" xfId="0" applyNumberFormat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0" fontId="1" fillId="2" borderId="13" xfId="0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14" fontId="0" fillId="0" borderId="13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4" fontId="0" fillId="0" borderId="10" xfId="0" applyNumberFormat="1" applyBorder="1" applyAlignment="1">
      <alignment horizontal="center"/>
    </xf>
    <xf numFmtId="1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2" xfId="0" applyBorder="1" applyAlignment="1">
      <alignment horizontal="center" vertical="center"/>
    </xf>
    <xf numFmtId="14" fontId="0" fillId="0" borderId="9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5" borderId="9" xfId="0" applyNumberFormat="1" applyFill="1" applyBorder="1" applyAlignment="1" applyProtection="1">
      <alignment horizontal="center" vertical="center" wrapText="1"/>
      <protection locked="0"/>
    </xf>
    <xf numFmtId="0" fontId="0" fillId="5" borderId="7" xfId="0" applyFill="1" applyBorder="1" applyAlignment="1" applyProtection="1">
      <alignment horizontal="center" vertical="center" wrapText="1"/>
      <protection locked="0"/>
    </xf>
    <xf numFmtId="1" fontId="0" fillId="5" borderId="7" xfId="0" applyNumberFormat="1" applyFill="1" applyBorder="1" applyAlignment="1" applyProtection="1">
      <alignment horizontal="center" vertical="center" wrapText="1"/>
      <protection locked="0"/>
    </xf>
    <xf numFmtId="1" fontId="2" fillId="5" borderId="7" xfId="0" applyNumberFormat="1" applyFont="1" applyFill="1" applyBorder="1" applyAlignment="1" applyProtection="1">
      <alignment horizontal="center" vertical="center" wrapText="1"/>
      <protection locked="0"/>
    </xf>
    <xf numFmtId="0" fontId="5" fillId="0" borderId="0" xfId="2"/>
    <xf numFmtId="0" fontId="7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0" fontId="10" fillId="0" borderId="0" xfId="2" applyFont="1" applyAlignment="1">
      <alignment horizontal="center"/>
    </xf>
    <xf numFmtId="0" fontId="12" fillId="0" borderId="0" xfId="2" applyFont="1"/>
    <xf numFmtId="0" fontId="13" fillId="0" borderId="0" xfId="2" applyFont="1" applyAlignment="1">
      <alignment horizontal="center"/>
    </xf>
    <xf numFmtId="0" fontId="14" fillId="0" borderId="21" xfId="2" applyFont="1" applyBorder="1" applyAlignment="1">
      <alignment horizontal="center"/>
    </xf>
    <xf numFmtId="0" fontId="10" fillId="0" borderId="0" xfId="2" applyFont="1" applyAlignment="1">
      <alignment horizontal="left"/>
    </xf>
    <xf numFmtId="0" fontId="12" fillId="0" borderId="0" xfId="2" applyFont="1" applyAlignment="1">
      <alignment horizontal="left"/>
    </xf>
    <xf numFmtId="0" fontId="10" fillId="0" borderId="0" xfId="2" applyFont="1" applyAlignment="1">
      <alignment horizontal="right"/>
    </xf>
    <xf numFmtId="165" fontId="10" fillId="0" borderId="0" xfId="2" applyNumberFormat="1" applyFont="1" applyAlignment="1">
      <alignment horizontal="center"/>
    </xf>
    <xf numFmtId="14" fontId="15" fillId="0" borderId="0" xfId="2" applyNumberFormat="1" applyFont="1"/>
    <xf numFmtId="0" fontId="13" fillId="0" borderId="0" xfId="2" applyFont="1"/>
    <xf numFmtId="0" fontId="15" fillId="0" borderId="0" xfId="2" applyFont="1" applyAlignment="1">
      <alignment horizontal="center"/>
    </xf>
    <xf numFmtId="14" fontId="12" fillId="0" borderId="0" xfId="2" applyNumberFormat="1" applyFont="1"/>
    <xf numFmtId="15" fontId="13" fillId="0" borderId="0" xfId="2" applyNumberFormat="1" applyFont="1" applyAlignment="1">
      <alignment horizontal="center"/>
    </xf>
    <xf numFmtId="0" fontId="16" fillId="0" borderId="0" xfId="2" applyFont="1"/>
    <xf numFmtId="0" fontId="13" fillId="0" borderId="0" xfId="2" applyFont="1" applyAlignment="1">
      <alignment horizontal="left"/>
    </xf>
    <xf numFmtId="0" fontId="17" fillId="7" borderId="25" xfId="2" applyFont="1" applyFill="1" applyBorder="1" applyAlignment="1">
      <alignment horizontal="center" vertical="center" wrapText="1"/>
    </xf>
    <xf numFmtId="0" fontId="17" fillId="7" borderId="26" xfId="2" applyFont="1" applyFill="1" applyBorder="1" applyAlignment="1">
      <alignment horizontal="center" vertical="center" wrapText="1"/>
    </xf>
    <xf numFmtId="0" fontId="12" fillId="7" borderId="26" xfId="2" applyFont="1" applyFill="1" applyBorder="1" applyAlignment="1">
      <alignment horizontal="center" vertical="center" wrapText="1"/>
    </xf>
    <xf numFmtId="0" fontId="12" fillId="7" borderId="26" xfId="2" applyFont="1" applyFill="1" applyBorder="1" applyAlignment="1">
      <alignment horizontal="center" vertical="center"/>
    </xf>
    <xf numFmtId="0" fontId="10" fillId="7" borderId="26" xfId="2" applyFont="1" applyFill="1" applyBorder="1" applyAlignment="1">
      <alignment horizontal="center" vertical="center"/>
    </xf>
    <xf numFmtId="0" fontId="10" fillId="7" borderId="26" xfId="2" applyFont="1" applyFill="1" applyBorder="1" applyAlignment="1">
      <alignment horizontal="center" vertical="center" wrapText="1"/>
    </xf>
    <xf numFmtId="0" fontId="12" fillId="7" borderId="27" xfId="2" applyFont="1" applyFill="1" applyBorder="1" applyAlignment="1">
      <alignment horizontal="center" vertical="center"/>
    </xf>
    <xf numFmtId="0" fontId="10" fillId="4" borderId="28" xfId="2" applyFont="1" applyFill="1" applyBorder="1" applyAlignment="1">
      <alignment horizontal="center" vertical="center" wrapText="1"/>
    </xf>
    <xf numFmtId="0" fontId="10" fillId="4" borderId="29" xfId="2" applyFont="1" applyFill="1" applyBorder="1" applyAlignment="1">
      <alignment horizontal="center" vertical="center" wrapText="1"/>
    </xf>
    <xf numFmtId="0" fontId="10" fillId="4" borderId="30" xfId="2" applyFont="1" applyFill="1" applyBorder="1" applyAlignment="1">
      <alignment horizontal="center" vertical="center" wrapText="1"/>
    </xf>
    <xf numFmtId="0" fontId="10" fillId="4" borderId="31" xfId="2" applyFont="1" applyFill="1" applyBorder="1" applyAlignment="1">
      <alignment horizontal="center" vertical="center" wrapText="1"/>
    </xf>
    <xf numFmtId="0" fontId="10" fillId="6" borderId="28" xfId="2" applyFont="1" applyFill="1" applyBorder="1" applyAlignment="1">
      <alignment horizontal="center" vertical="center" wrapText="1"/>
    </xf>
    <xf numFmtId="0" fontId="10" fillId="6" borderId="32" xfId="2" applyFont="1" applyFill="1" applyBorder="1" applyAlignment="1">
      <alignment horizontal="center" vertical="center" wrapText="1"/>
    </xf>
    <xf numFmtId="0" fontId="10" fillId="4" borderId="33" xfId="2" applyFont="1" applyFill="1" applyBorder="1" applyAlignment="1">
      <alignment horizontal="center" vertical="center" wrapText="1"/>
    </xf>
    <xf numFmtId="0" fontId="14" fillId="0" borderId="19" xfId="2" applyFont="1" applyBorder="1"/>
    <xf numFmtId="0" fontId="14" fillId="0" borderId="7" xfId="2" applyFont="1" applyBorder="1"/>
    <xf numFmtId="0" fontId="14" fillId="0" borderId="7" xfId="2" applyFont="1" applyBorder="1" applyAlignment="1">
      <alignment horizontal="center"/>
    </xf>
    <xf numFmtId="0" fontId="18" fillId="0" borderId="7" xfId="2" applyFont="1" applyBorder="1" applyAlignment="1">
      <alignment horizontal="center"/>
    </xf>
    <xf numFmtId="164" fontId="18" fillId="0" borderId="7" xfId="2" applyNumberFormat="1" applyFont="1" applyBorder="1" applyAlignment="1">
      <alignment horizontal="center"/>
    </xf>
    <xf numFmtId="49" fontId="14" fillId="0" borderId="7" xfId="2" applyNumberFormat="1" applyFont="1" applyBorder="1" applyAlignment="1">
      <alignment horizontal="center"/>
    </xf>
    <xf numFmtId="44" fontId="14" fillId="0" borderId="7" xfId="3" applyFont="1" applyBorder="1"/>
    <xf numFmtId="44" fontId="14" fillId="0" borderId="7" xfId="2" applyNumberFormat="1" applyFont="1" applyBorder="1"/>
    <xf numFmtId="0" fontId="14" fillId="0" borderId="20" xfId="2" applyFont="1" applyBorder="1" applyAlignment="1">
      <alignment wrapText="1"/>
    </xf>
    <xf numFmtId="166" fontId="5" fillId="0" borderId="25" xfId="2" applyNumberFormat="1" applyBorder="1" applyAlignment="1">
      <alignment horizontal="center"/>
    </xf>
    <xf numFmtId="166" fontId="5" fillId="0" borderId="26" xfId="2" applyNumberFormat="1" applyBorder="1" applyAlignment="1">
      <alignment horizontal="center"/>
    </xf>
    <xf numFmtId="166" fontId="5" fillId="0" borderId="34" xfId="2" applyNumberFormat="1" applyBorder="1" applyAlignment="1">
      <alignment horizontal="left" wrapText="1"/>
    </xf>
    <xf numFmtId="166" fontId="5" fillId="0" borderId="35" xfId="2" applyNumberFormat="1" applyBorder="1" applyAlignment="1">
      <alignment horizontal="center"/>
    </xf>
    <xf numFmtId="9" fontId="5" fillId="0" borderId="35" xfId="1" applyBorder="1" applyAlignment="1">
      <alignment horizontal="center"/>
    </xf>
    <xf numFmtId="166" fontId="5" fillId="0" borderId="34" xfId="2" applyNumberFormat="1" applyBorder="1" applyAlignment="1">
      <alignment horizontal="center"/>
    </xf>
    <xf numFmtId="0" fontId="5" fillId="0" borderId="27" xfId="2" applyBorder="1" applyAlignment="1">
      <alignment horizontal="center"/>
    </xf>
    <xf numFmtId="167" fontId="14" fillId="0" borderId="7" xfId="2" applyNumberFormat="1" applyFont="1" applyBorder="1" applyAlignment="1">
      <alignment horizontal="center"/>
    </xf>
    <xf numFmtId="166" fontId="5" fillId="0" borderId="19" xfId="2" applyNumberFormat="1" applyBorder="1" applyAlignment="1">
      <alignment horizontal="center"/>
    </xf>
    <xf numFmtId="166" fontId="5" fillId="0" borderId="36" xfId="2" applyNumberFormat="1" applyBorder="1" applyAlignment="1">
      <alignment horizontal="center"/>
    </xf>
    <xf numFmtId="166" fontId="5" fillId="0" borderId="37" xfId="2" applyNumberFormat="1" applyBorder="1" applyAlignment="1">
      <alignment horizontal="left" wrapText="1"/>
    </xf>
    <xf numFmtId="166" fontId="5" fillId="0" borderId="38" xfId="2" applyNumberFormat="1" applyBorder="1" applyAlignment="1">
      <alignment horizontal="center"/>
    </xf>
    <xf numFmtId="166" fontId="5" fillId="0" borderId="39" xfId="2" applyNumberFormat="1" applyBorder="1" applyAlignment="1">
      <alignment horizontal="center"/>
    </xf>
    <xf numFmtId="9" fontId="5" fillId="0" borderId="39" xfId="1" applyBorder="1" applyAlignment="1">
      <alignment horizontal="center"/>
    </xf>
    <xf numFmtId="166" fontId="5" fillId="0" borderId="37" xfId="2" applyNumberFormat="1" applyBorder="1" applyAlignment="1">
      <alignment horizontal="center"/>
    </xf>
    <xf numFmtId="0" fontId="5" fillId="0" borderId="40" xfId="2" applyBorder="1" applyAlignment="1">
      <alignment horizontal="center"/>
    </xf>
    <xf numFmtId="166" fontId="0" fillId="0" borderId="19" xfId="2" applyNumberFormat="1" applyFont="1" applyBorder="1" applyAlignment="1">
      <alignment horizontal="center"/>
    </xf>
    <xf numFmtId="166" fontId="0" fillId="0" borderId="36" xfId="2" applyNumberFormat="1" applyFont="1" applyBorder="1" applyAlignment="1">
      <alignment horizontal="center"/>
    </xf>
    <xf numFmtId="0" fontId="14" fillId="0" borderId="41" xfId="2" applyFont="1" applyBorder="1"/>
    <xf numFmtId="0" fontId="14" fillId="0" borderId="42" xfId="2" applyFont="1" applyBorder="1"/>
    <xf numFmtId="0" fontId="14" fillId="0" borderId="42" xfId="2" applyFont="1" applyBorder="1" applyAlignment="1">
      <alignment horizontal="center"/>
    </xf>
    <xf numFmtId="167" fontId="14" fillId="0" borderId="42" xfId="2" applyNumberFormat="1" applyFont="1" applyBorder="1" applyAlignment="1">
      <alignment horizontal="center"/>
    </xf>
    <xf numFmtId="49" fontId="14" fillId="0" borderId="42" xfId="2" applyNumberFormat="1" applyFont="1" applyBorder="1" applyAlignment="1">
      <alignment horizontal="center"/>
    </xf>
    <xf numFmtId="44" fontId="14" fillId="0" borderId="42" xfId="3" applyFont="1" applyBorder="1"/>
    <xf numFmtId="0" fontId="14" fillId="0" borderId="43" xfId="2" applyFont="1" applyBorder="1" applyAlignment="1">
      <alignment wrapText="1"/>
    </xf>
    <xf numFmtId="166" fontId="0" fillId="0" borderId="41" xfId="2" applyNumberFormat="1" applyFont="1" applyBorder="1" applyAlignment="1">
      <alignment horizontal="center"/>
    </xf>
    <xf numFmtId="166" fontId="0" fillId="0" borderId="42" xfId="2" applyNumberFormat="1" applyFont="1" applyBorder="1" applyAlignment="1">
      <alignment horizontal="center"/>
    </xf>
    <xf numFmtId="166" fontId="5" fillId="0" borderId="44" xfId="2" applyNumberFormat="1" applyBorder="1" applyAlignment="1">
      <alignment horizontal="left" wrapText="1"/>
    </xf>
    <xf numFmtId="0" fontId="15" fillId="0" borderId="45" xfId="2" applyFont="1" applyBorder="1" applyAlignment="1">
      <alignment horizontal="center"/>
    </xf>
    <xf numFmtId="0" fontId="15" fillId="0" borderId="46" xfId="2" applyFont="1" applyBorder="1" applyAlignment="1">
      <alignment horizontal="center"/>
    </xf>
    <xf numFmtId="49" fontId="15" fillId="0" borderId="46" xfId="2" applyNumberFormat="1" applyFont="1" applyBorder="1" applyAlignment="1" applyProtection="1">
      <alignment horizontal="center"/>
      <protection locked="0"/>
    </xf>
    <xf numFmtId="0" fontId="9" fillId="0" borderId="46" xfId="2" applyFont="1" applyBorder="1"/>
    <xf numFmtId="0" fontId="13" fillId="0" borderId="46" xfId="2" applyFont="1" applyBorder="1"/>
    <xf numFmtId="0" fontId="18" fillId="0" borderId="22" xfId="2" applyFont="1" applyBorder="1" applyAlignment="1">
      <alignment horizontal="center"/>
    </xf>
    <xf numFmtId="44" fontId="14" fillId="0" borderId="24" xfId="2" applyNumberFormat="1" applyFont="1" applyBorder="1"/>
    <xf numFmtId="0" fontId="13" fillId="0" borderId="32" xfId="2" applyFont="1" applyBorder="1"/>
    <xf numFmtId="166" fontId="10" fillId="0" borderId="28" xfId="2" applyNumberFormat="1" applyFont="1" applyBorder="1" applyAlignment="1">
      <alignment horizontal="center"/>
    </xf>
    <xf numFmtId="166" fontId="10" fillId="0" borderId="30" xfId="2" applyNumberFormat="1" applyFont="1" applyBorder="1" applyAlignment="1">
      <alignment horizontal="center"/>
    </xf>
    <xf numFmtId="166" fontId="10" fillId="0" borderId="24" xfId="2" applyNumberFormat="1" applyFont="1" applyBorder="1" applyAlignment="1">
      <alignment horizontal="center"/>
    </xf>
    <xf numFmtId="0" fontId="10" fillId="0" borderId="47" xfId="2" applyFont="1" applyBorder="1" applyAlignment="1">
      <alignment horizontal="center"/>
    </xf>
    <xf numFmtId="0" fontId="10" fillId="0" borderId="48" xfId="2" applyFont="1" applyBorder="1"/>
    <xf numFmtId="0" fontId="10" fillId="0" borderId="0" xfId="2" applyFont="1"/>
    <xf numFmtId="0" fontId="13" fillId="0" borderId="21" xfId="2" applyFont="1" applyBorder="1" applyAlignment="1">
      <alignment horizontal="center"/>
    </xf>
    <xf numFmtId="0" fontId="13" fillId="0" borderId="49" xfId="2" applyFont="1" applyBorder="1"/>
    <xf numFmtId="0" fontId="13" fillId="0" borderId="50" xfId="2" applyFont="1" applyBorder="1" applyAlignment="1">
      <alignment horizontal="center"/>
    </xf>
    <xf numFmtId="0" fontId="18" fillId="0" borderId="0" xfId="2" applyFont="1"/>
    <xf numFmtId="0" fontId="5" fillId="0" borderId="49" xfId="2" applyBorder="1"/>
    <xf numFmtId="0" fontId="18" fillId="0" borderId="49" xfId="2" applyFont="1" applyBorder="1"/>
    <xf numFmtId="0" fontId="18" fillId="0" borderId="21" xfId="2" applyFont="1" applyBorder="1"/>
    <xf numFmtId="0" fontId="18" fillId="0" borderId="51" xfId="2" applyFont="1" applyBorder="1"/>
    <xf numFmtId="0" fontId="0" fillId="0" borderId="0" xfId="2" applyFont="1"/>
    <xf numFmtId="9" fontId="5" fillId="0" borderId="0" xfId="2" applyNumberFormat="1"/>
    <xf numFmtId="0" fontId="0" fillId="8" borderId="7" xfId="0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16" xfId="0" applyBorder="1" applyAlignment="1">
      <alignment horizontal="center" vertical="center" wrapText="1"/>
    </xf>
    <xf numFmtId="1" fontId="0" fillId="4" borderId="52" xfId="0" applyNumberFormat="1" applyFill="1" applyBorder="1" applyAlignment="1">
      <alignment horizontal="center" vertical="center"/>
    </xf>
    <xf numFmtId="14" fontId="0" fillId="0" borderId="6" xfId="0" applyNumberFormat="1" applyBorder="1" applyAlignment="1">
      <alignment horizontal="center" vertical="center" wrapText="1"/>
    </xf>
    <xf numFmtId="164" fontId="0" fillId="0" borderId="6" xfId="0" applyNumberFormat="1" applyBorder="1" applyAlignment="1">
      <alignment horizontal="center" vertical="center" wrapText="1"/>
    </xf>
    <xf numFmtId="1" fontId="0" fillId="4" borderId="14" xfId="0" applyNumberForma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4" fontId="0" fillId="0" borderId="14" xfId="0" applyNumberFormat="1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1" fontId="0" fillId="4" borderId="54" xfId="0" applyNumberFormat="1" applyFill="1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 wrapText="1"/>
    </xf>
    <xf numFmtId="164" fontId="0" fillId="0" borderId="12" xfId="0" applyNumberFormat="1" applyBorder="1" applyAlignment="1">
      <alignment horizontal="center" vertical="center" wrapText="1"/>
    </xf>
    <xf numFmtId="1" fontId="0" fillId="4" borderId="36" xfId="0" applyNumberFormat="1" applyFill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14" fontId="0" fillId="0" borderId="36" xfId="0" applyNumberFormat="1" applyBorder="1" applyAlignment="1">
      <alignment horizontal="center" vertical="center" wrapText="1"/>
    </xf>
    <xf numFmtId="1" fontId="2" fillId="5" borderId="14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56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6" fillId="0" borderId="0" xfId="2" applyFont="1" applyAlignment="1">
      <alignment horizontal="center"/>
    </xf>
    <xf numFmtId="15" fontId="9" fillId="0" borderId="21" xfId="2" applyNumberFormat="1" applyFont="1" applyBorder="1" applyAlignment="1">
      <alignment horizontal="center"/>
    </xf>
    <xf numFmtId="0" fontId="11" fillId="0" borderId="21" xfId="2" applyFont="1" applyBorder="1" applyAlignment="1">
      <alignment horizontal="center"/>
    </xf>
    <xf numFmtId="0" fontId="14" fillId="0" borderId="21" xfId="2" applyFont="1" applyBorder="1" applyAlignment="1">
      <alignment horizontal="center"/>
    </xf>
    <xf numFmtId="0" fontId="12" fillId="0" borderId="0" xfId="2" applyFont="1" applyAlignment="1">
      <alignment horizontal="left"/>
    </xf>
    <xf numFmtId="0" fontId="12" fillId="0" borderId="22" xfId="2" applyFont="1" applyBorder="1" applyAlignment="1">
      <alignment horizontal="center"/>
    </xf>
    <xf numFmtId="0" fontId="12" fillId="0" borderId="23" xfId="2" applyFont="1" applyBorder="1" applyAlignment="1">
      <alignment horizontal="center"/>
    </xf>
    <xf numFmtId="0" fontId="10" fillId="6" borderId="22" xfId="2" applyFont="1" applyFill="1" applyBorder="1" applyAlignment="1">
      <alignment horizontal="center"/>
    </xf>
    <xf numFmtId="0" fontId="10" fillId="6" borderId="23" xfId="2" applyFont="1" applyFill="1" applyBorder="1" applyAlignment="1">
      <alignment horizontal="center"/>
    </xf>
    <xf numFmtId="0" fontId="10" fillId="6" borderId="24" xfId="2" applyFont="1" applyFill="1" applyBorder="1" applyAlignment="1">
      <alignment horizontal="center"/>
    </xf>
    <xf numFmtId="0" fontId="1" fillId="6" borderId="22" xfId="2" applyFont="1" applyFill="1" applyBorder="1" applyAlignment="1">
      <alignment horizontal="center"/>
    </xf>
    <xf numFmtId="0" fontId="1" fillId="6" borderId="23" xfId="2" applyFont="1" applyFill="1" applyBorder="1" applyAlignment="1">
      <alignment horizontal="center"/>
    </xf>
    <xf numFmtId="0" fontId="1" fillId="6" borderId="24" xfId="2" applyFont="1" applyFill="1" applyBorder="1" applyAlignment="1">
      <alignment horizontal="center"/>
    </xf>
    <xf numFmtId="0" fontId="10" fillId="0" borderId="22" xfId="2" applyFont="1" applyBorder="1" applyAlignment="1">
      <alignment horizontal="center"/>
    </xf>
    <xf numFmtId="0" fontId="10" fillId="0" borderId="23" xfId="2" applyFont="1" applyBorder="1" applyAlignment="1">
      <alignment horizontal="center"/>
    </xf>
    <xf numFmtId="0" fontId="10" fillId="0" borderId="24" xfId="2" applyFont="1" applyBorder="1" applyAlignment="1">
      <alignment horizontal="center"/>
    </xf>
    <xf numFmtId="0" fontId="1" fillId="2" borderId="1" xfId="0" applyFont="1" applyFill="1" applyBorder="1" applyAlignment="1" applyProtection="1">
      <alignment horizontal="center" vertical="center" wrapText="1"/>
      <protection locked="0"/>
    </xf>
    <xf numFmtId="0" fontId="1" fillId="2" borderId="0" xfId="0" applyFont="1" applyFill="1" applyAlignment="1" applyProtection="1">
      <alignment horizontal="center" vertical="center" wrapText="1"/>
      <protection locked="0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14" fontId="1" fillId="5" borderId="5" xfId="0" applyNumberFormat="1" applyFont="1" applyFill="1" applyBorder="1" applyAlignment="1" applyProtection="1">
      <alignment horizontal="center" vertical="center" wrapText="1"/>
      <protection locked="0"/>
    </xf>
    <xf numFmtId="14" fontId="1" fillId="5" borderId="3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5" xfId="0" applyNumberFormat="1" applyFont="1" applyFill="1" applyBorder="1" applyAlignment="1" applyProtection="1">
      <alignment horizontal="center" vertical="center" wrapText="1"/>
      <protection locked="0"/>
    </xf>
    <xf numFmtId="14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7" xfId="0" applyFont="1" applyFill="1" applyBorder="1" applyAlignment="1" applyProtection="1">
      <alignment horizontal="center" vertical="center"/>
      <protection locked="0"/>
    </xf>
    <xf numFmtId="0" fontId="1" fillId="0" borderId="7" xfId="0" applyFont="1" applyBorder="1" applyAlignment="1" applyProtection="1">
      <alignment horizontal="center" vertical="center"/>
      <protection locked="0"/>
    </xf>
    <xf numFmtId="0" fontId="1" fillId="2" borderId="11" xfId="0" applyFont="1" applyFill="1" applyBorder="1" applyAlignment="1" applyProtection="1">
      <alignment horizontal="center" vertical="center"/>
      <protection locked="0"/>
    </xf>
    <xf numFmtId="0" fontId="1" fillId="2" borderId="10" xfId="0" applyFont="1" applyFill="1" applyBorder="1" applyAlignment="1" applyProtection="1">
      <alignment horizontal="center" vertical="center"/>
      <protection locked="0"/>
    </xf>
    <xf numFmtId="0" fontId="1" fillId="2" borderId="5" xfId="0" applyFont="1" applyFill="1" applyBorder="1" applyAlignment="1" applyProtection="1">
      <alignment horizontal="center" vertical="center"/>
      <protection locked="0"/>
    </xf>
    <xf numFmtId="0" fontId="1" fillId="2" borderId="3" xfId="0" applyFont="1" applyFill="1" applyBorder="1" applyAlignment="1" applyProtection="1">
      <alignment horizontal="center" vertical="center"/>
      <protection locked="0"/>
    </xf>
    <xf numFmtId="0" fontId="1" fillId="2" borderId="4" xfId="0" applyFont="1" applyFill="1" applyBorder="1" applyAlignment="1" applyProtection="1">
      <alignment horizontal="center" vertical="center"/>
      <protection locked="0"/>
    </xf>
    <xf numFmtId="164" fontId="1" fillId="2" borderId="2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3" xfId="0" applyNumberFormat="1" applyFont="1" applyFill="1" applyBorder="1" applyAlignment="1" applyProtection="1">
      <alignment horizontal="center" vertical="center" wrapText="1"/>
      <protection locked="0"/>
    </xf>
    <xf numFmtId="164" fontId="1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0" fontId="1" fillId="2" borderId="7" xfId="0" applyFont="1" applyFill="1" applyBorder="1" applyAlignment="1" applyProtection="1">
      <alignment horizontal="center" vertical="center" wrapText="1"/>
      <protection locked="0"/>
    </xf>
    <xf numFmtId="0" fontId="1" fillId="2" borderId="10" xfId="0" applyFont="1" applyFill="1" applyBorder="1" applyAlignment="1" applyProtection="1">
      <alignment horizontal="center" vertical="center" wrapText="1"/>
      <protection locked="0"/>
    </xf>
    <xf numFmtId="0" fontId="0" fillId="2" borderId="7" xfId="0" applyFill="1" applyBorder="1" applyAlignment="1">
      <alignment horizontal="center" vertical="center"/>
    </xf>
  </cellXfs>
  <cellStyles count="4">
    <cellStyle name="Currency 6" xfId="3" xr:uid="{36CD93AE-1684-40ED-86DB-D5752A2B524E}"/>
    <cellStyle name="Normal" xfId="0" builtinId="0"/>
    <cellStyle name="Normal 17" xfId="2" xr:uid="{0E1073BC-37EC-4428-A740-A58009B23887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2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179294</xdr:colOff>
      <xdr:row>52</xdr:row>
      <xdr:rowOff>67234</xdr:rowOff>
    </xdr:from>
    <xdr:to>
      <xdr:col>9</xdr:col>
      <xdr:colOff>473502</xdr:colOff>
      <xdr:row>66</xdr:row>
      <xdr:rowOff>17317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3A2952-F899-4B4E-B241-88D3E86DA8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0269" y="14573809"/>
          <a:ext cx="10724083" cy="261708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179294</xdr:colOff>
      <xdr:row>40</xdr:row>
      <xdr:rowOff>67234</xdr:rowOff>
    </xdr:from>
    <xdr:to>
      <xdr:col>9</xdr:col>
      <xdr:colOff>473502</xdr:colOff>
      <xdr:row>54</xdr:row>
      <xdr:rowOff>17317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266F5D-A275-8193-1F51-032CC64284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2476" y="12726825"/>
          <a:ext cx="10719753" cy="2617083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1.123\AAAProjects\Henry%20Ford\009%20Quantities\Quantity%20Spreadsheets\Henry%20Ford%20Master%20Work%20Sheet.xlsm" TargetMode="External"/><Relationship Id="rId1" Type="http://schemas.openxmlformats.org/officeDocument/2006/relationships/externalLinkPath" Target="file:///\\192.168.1.123\AAAProjects\Henry%20Ford\009%20Quantities\Quantity%20Spreadsheets\Henry%20Ford%20Master%20Work%20Sheet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corp/AppData/Local/Microsoft/Windows/INetCache/Content.Outlook/4CJQKSRU/Bordeaux%20Master%20Spreadsheet%2024-0712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inline "/>
      <sheetName val="Services"/>
      <sheetName val="Manholes"/>
      <sheetName val="Hard Surface Restoration"/>
      <sheetName val="Point Repairs"/>
      <sheetName val="Misc Bid Items"/>
      <sheetName val="Quantities"/>
      <sheetName val="Mainline PT"/>
      <sheetName val="Lis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3">
          <cell r="D3" t="str">
            <v>B-1</v>
          </cell>
        </row>
        <row r="4">
          <cell r="D4" t="str">
            <v>B-2</v>
          </cell>
        </row>
        <row r="5">
          <cell r="D5" t="str">
            <v>B-3</v>
          </cell>
        </row>
        <row r="6">
          <cell r="D6" t="str">
            <v>B-4</v>
          </cell>
        </row>
        <row r="7">
          <cell r="D7" t="str">
            <v>B-5</v>
          </cell>
        </row>
        <row r="8">
          <cell r="D8" t="str">
            <v>B-6</v>
          </cell>
        </row>
        <row r="9">
          <cell r="D9" t="str">
            <v>B-7</v>
          </cell>
        </row>
        <row r="10">
          <cell r="D10" t="str">
            <v>B-8</v>
          </cell>
        </row>
        <row r="11">
          <cell r="D11" t="str">
            <v>B-9</v>
          </cell>
        </row>
        <row r="12">
          <cell r="D12" t="str">
            <v>B-10</v>
          </cell>
        </row>
        <row r="13">
          <cell r="D13" t="str">
            <v>B-11</v>
          </cell>
        </row>
        <row r="14">
          <cell r="D14" t="str">
            <v>B-12</v>
          </cell>
        </row>
        <row r="15">
          <cell r="D15" t="str">
            <v>B-13</v>
          </cell>
        </row>
        <row r="16">
          <cell r="D16" t="str">
            <v>B-14</v>
          </cell>
        </row>
        <row r="17">
          <cell r="D17" t="str">
            <v>B-15</v>
          </cell>
        </row>
        <row r="18">
          <cell r="D18" t="str">
            <v>B-16</v>
          </cell>
        </row>
        <row r="19">
          <cell r="D19" t="str">
            <v>B-17</v>
          </cell>
        </row>
        <row r="20">
          <cell r="D20" t="str">
            <v>B-18</v>
          </cell>
        </row>
        <row r="21">
          <cell r="D21" t="str">
            <v>B-19</v>
          </cell>
        </row>
        <row r="22">
          <cell r="D22" t="str">
            <v>B-20</v>
          </cell>
        </row>
        <row r="23">
          <cell r="D23" t="str">
            <v>B-21</v>
          </cell>
        </row>
        <row r="24">
          <cell r="D24" t="str">
            <v>B-22</v>
          </cell>
        </row>
        <row r="25">
          <cell r="D25" t="str">
            <v>B-23</v>
          </cell>
        </row>
        <row r="26">
          <cell r="D26" t="str">
            <v>B-24</v>
          </cell>
        </row>
        <row r="27">
          <cell r="D27" t="str">
            <v>B-25</v>
          </cell>
        </row>
        <row r="28">
          <cell r="D28" t="str">
            <v>B-26</v>
          </cell>
        </row>
        <row r="29">
          <cell r="D29" t="str">
            <v>B-27</v>
          </cell>
        </row>
        <row r="30">
          <cell r="D30" t="str">
            <v>B-28</v>
          </cell>
        </row>
        <row r="31">
          <cell r="D31" t="str">
            <v>B-29</v>
          </cell>
        </row>
        <row r="32">
          <cell r="D32" t="str">
            <v>B-30</v>
          </cell>
        </row>
        <row r="33">
          <cell r="D33" t="str">
            <v>B-31</v>
          </cell>
        </row>
        <row r="34">
          <cell r="D34" t="str">
            <v>B-32</v>
          </cell>
        </row>
        <row r="35">
          <cell r="D35" t="str">
            <v>B-33</v>
          </cell>
        </row>
        <row r="36">
          <cell r="D36" t="str">
            <v>B-34</v>
          </cell>
        </row>
        <row r="37">
          <cell r="D37" t="str">
            <v>B-35</v>
          </cell>
        </row>
        <row r="38">
          <cell r="D38" t="str">
            <v>B-36</v>
          </cell>
        </row>
        <row r="39">
          <cell r="D39" t="str">
            <v>B-37</v>
          </cell>
        </row>
        <row r="40">
          <cell r="D40" t="str">
            <v>B-38</v>
          </cell>
        </row>
        <row r="41">
          <cell r="D41" t="str">
            <v>B-39</v>
          </cell>
        </row>
        <row r="42">
          <cell r="D42" t="str">
            <v>B-40</v>
          </cell>
        </row>
        <row r="43">
          <cell r="D43" t="str">
            <v>B-41</v>
          </cell>
        </row>
        <row r="44">
          <cell r="D44" t="str">
            <v>B-42</v>
          </cell>
        </row>
        <row r="45">
          <cell r="D45" t="str">
            <v>B-43</v>
          </cell>
        </row>
        <row r="46">
          <cell r="D46" t="str">
            <v>B-44</v>
          </cell>
        </row>
        <row r="47">
          <cell r="D47" t="str">
            <v>B-45</v>
          </cell>
        </row>
        <row r="48">
          <cell r="D48" t="str">
            <v>B-46</v>
          </cell>
        </row>
        <row r="49">
          <cell r="D49" t="str">
            <v>B-47</v>
          </cell>
        </row>
        <row r="50">
          <cell r="D50" t="str">
            <v>B-48</v>
          </cell>
        </row>
        <row r="51">
          <cell r="D51" t="str">
            <v>B-49</v>
          </cell>
        </row>
        <row r="52">
          <cell r="D52" t="str">
            <v>B-50</v>
          </cell>
        </row>
        <row r="53">
          <cell r="D53" t="str">
            <v>B-51</v>
          </cell>
        </row>
        <row r="54">
          <cell r="D54" t="str">
            <v>B-52</v>
          </cell>
        </row>
        <row r="55">
          <cell r="D55" t="str">
            <v>B-53</v>
          </cell>
        </row>
        <row r="56">
          <cell r="D56" t="str">
            <v>B-54</v>
          </cell>
        </row>
        <row r="57">
          <cell r="D57" t="str">
            <v>B-55</v>
          </cell>
        </row>
        <row r="58">
          <cell r="D58" t="str">
            <v>B-56</v>
          </cell>
        </row>
        <row r="59">
          <cell r="D59" t="str">
            <v>B-57</v>
          </cell>
        </row>
        <row r="60">
          <cell r="D60" t="str">
            <v>B-58</v>
          </cell>
        </row>
        <row r="61">
          <cell r="D61" t="str">
            <v>B-59</v>
          </cell>
        </row>
        <row r="62">
          <cell r="D62" t="str">
            <v>B-60</v>
          </cell>
        </row>
        <row r="63">
          <cell r="D63" t="str">
            <v>B-61</v>
          </cell>
        </row>
        <row r="64">
          <cell r="D64" t="str">
            <v>B-62</v>
          </cell>
        </row>
        <row r="65">
          <cell r="D65" t="str">
            <v>B-63</v>
          </cell>
        </row>
        <row r="66">
          <cell r="D66" t="str">
            <v>B-64</v>
          </cell>
        </row>
        <row r="67">
          <cell r="D67" t="str">
            <v>B-65</v>
          </cell>
        </row>
        <row r="68">
          <cell r="D68" t="str">
            <v>B-66</v>
          </cell>
        </row>
        <row r="69">
          <cell r="D69" t="str">
            <v>B-67</v>
          </cell>
        </row>
        <row r="70">
          <cell r="D70" t="str">
            <v>B-68</v>
          </cell>
        </row>
        <row r="71">
          <cell r="D71" t="str">
            <v>B-69</v>
          </cell>
        </row>
        <row r="72">
          <cell r="D72" t="str">
            <v>B-70</v>
          </cell>
        </row>
        <row r="73">
          <cell r="D73" t="str">
            <v>B-71</v>
          </cell>
        </row>
        <row r="74">
          <cell r="D74" t="str">
            <v>B-72</v>
          </cell>
        </row>
        <row r="75">
          <cell r="D75" t="str">
            <v>B-73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s"/>
    </sheetNames>
    <sheetDataSet>
      <sheetData sheetId="0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4E08C-97B8-4002-BCE4-4F3943AFD9B1}">
  <sheetPr>
    <pageSetUpPr fitToPage="1"/>
  </sheetPr>
  <dimension ref="B1:AF565"/>
  <sheetViews>
    <sheetView zoomScale="55" zoomScaleNormal="55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Q9" sqref="Q9:Q10"/>
    </sheetView>
  </sheetViews>
  <sheetFormatPr defaultColWidth="8.85546875" defaultRowHeight="15" x14ac:dyDescent="0.25"/>
  <cols>
    <col min="1" max="1" width="2.7109375" style="112" customWidth="1"/>
    <col min="2" max="2" width="19.85546875" style="112" customWidth="1"/>
    <col min="3" max="3" width="14" style="112" bestFit="1" customWidth="1"/>
    <col min="4" max="4" width="13" style="112" customWidth="1"/>
    <col min="5" max="5" width="21.5703125" style="112" customWidth="1"/>
    <col min="6" max="6" width="28" style="112" customWidth="1"/>
    <col min="7" max="7" width="11.5703125" style="112" customWidth="1"/>
    <col min="8" max="8" width="25.28515625" style="112" customWidth="1"/>
    <col min="9" max="9" width="23.140625" style="112" customWidth="1"/>
    <col min="10" max="10" width="9.85546875" style="112" customWidth="1"/>
    <col min="11" max="11" width="40.42578125" style="112" bestFit="1" customWidth="1"/>
    <col min="12" max="13" width="11" style="112" customWidth="1"/>
    <col min="14" max="14" width="10.5703125" style="112" customWidth="1"/>
    <col min="15" max="15" width="9.7109375" style="112" bestFit="1" customWidth="1"/>
    <col min="16" max="16" width="15.7109375" style="112" bestFit="1" customWidth="1"/>
    <col min="17" max="17" width="23.7109375" style="112" customWidth="1"/>
    <col min="18" max="18" width="61.85546875" style="112" customWidth="1"/>
    <col min="19" max="19" width="8.85546875" style="112"/>
    <col min="20" max="20" width="6.85546875" style="112" customWidth="1"/>
    <col min="21" max="21" width="10.85546875" style="112" customWidth="1"/>
    <col min="22" max="22" width="24" style="112" customWidth="1"/>
    <col min="23" max="23" width="8.85546875" style="112"/>
    <col min="24" max="26" width="9.7109375" style="112" customWidth="1"/>
    <col min="27" max="27" width="20.28515625" style="112" customWidth="1"/>
    <col min="28" max="28" width="8.140625" style="112" customWidth="1"/>
    <col min="29" max="29" width="12.42578125" style="112" bestFit="1" customWidth="1"/>
    <col min="30" max="30" width="9.7109375" style="112" customWidth="1"/>
    <col min="31" max="31" width="13.28515625" style="112" bestFit="1" customWidth="1"/>
    <col min="32" max="16384" width="8.85546875" style="112"/>
  </cols>
  <sheetData>
    <row r="1" spans="2:32" ht="27" customHeight="1" x14ac:dyDescent="0.35">
      <c r="B1" s="225" t="s">
        <v>903</v>
      </c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</row>
    <row r="2" spans="2:32" ht="27.75" customHeight="1" thickBot="1" x14ac:dyDescent="0.45">
      <c r="B2" s="113"/>
      <c r="C2" s="113"/>
      <c r="D2" s="113"/>
      <c r="E2" s="113"/>
      <c r="F2" s="113"/>
      <c r="G2" s="113"/>
      <c r="H2" s="114" t="s">
        <v>904</v>
      </c>
      <c r="I2" s="226">
        <v>46123</v>
      </c>
      <c r="J2" s="226"/>
      <c r="K2" s="226"/>
      <c r="L2" s="113"/>
      <c r="M2" s="113"/>
      <c r="N2" s="113"/>
      <c r="O2" s="113"/>
      <c r="P2" s="113"/>
      <c r="Q2" s="113"/>
    </row>
    <row r="3" spans="2:32" ht="16.5" customHeight="1" x14ac:dyDescent="0.4">
      <c r="B3" s="113"/>
      <c r="C3" s="113"/>
      <c r="D3" s="113"/>
      <c r="E3" s="113"/>
      <c r="F3" s="113"/>
      <c r="G3" s="113"/>
      <c r="H3" s="115"/>
      <c r="I3" s="113"/>
      <c r="J3" s="113"/>
      <c r="K3" s="113"/>
      <c r="L3" s="113"/>
      <c r="M3" s="113"/>
      <c r="N3" s="113"/>
      <c r="O3" s="113"/>
      <c r="P3" s="113"/>
      <c r="Q3" s="113"/>
    </row>
    <row r="4" spans="2:32" ht="16.5" customHeight="1" thickBot="1" x14ac:dyDescent="0.3">
      <c r="B4" s="227" t="s">
        <v>905</v>
      </c>
      <c r="C4" s="227"/>
      <c r="D4" s="227"/>
      <c r="E4" s="116"/>
      <c r="F4" s="117"/>
      <c r="G4" s="117"/>
      <c r="H4" s="116" t="s">
        <v>906</v>
      </c>
      <c r="I4" s="228" t="s">
        <v>1042</v>
      </c>
      <c r="J4" s="228"/>
      <c r="K4" s="228"/>
      <c r="L4" s="119"/>
      <c r="M4" s="119"/>
      <c r="N4" s="119"/>
      <c r="O4" s="119"/>
      <c r="P4" s="229" t="s">
        <v>907</v>
      </c>
      <c r="Q4" s="229"/>
      <c r="R4" s="118">
        <v>26129</v>
      </c>
    </row>
    <row r="5" spans="2:32" ht="16.5" customHeight="1" thickBot="1" x14ac:dyDescent="0.3">
      <c r="B5" s="121"/>
      <c r="C5" s="122"/>
      <c r="D5" s="122"/>
      <c r="E5" s="123"/>
      <c r="F5" s="124"/>
      <c r="G5" s="124"/>
      <c r="H5" s="119"/>
      <c r="I5" s="121"/>
      <c r="J5" s="125"/>
      <c r="K5" s="119"/>
      <c r="L5" s="119"/>
      <c r="M5" s="119"/>
      <c r="N5" s="119"/>
      <c r="O5" s="119"/>
      <c r="P5" s="117"/>
      <c r="Q5" s="117"/>
      <c r="R5" s="124"/>
    </row>
    <row r="6" spans="2:32" ht="16.5" customHeight="1" thickBot="1" x14ac:dyDescent="0.3">
      <c r="B6" s="121"/>
      <c r="C6" s="122"/>
      <c r="D6" s="122"/>
      <c r="E6" s="126"/>
      <c r="F6" s="127"/>
      <c r="G6" s="127"/>
      <c r="H6" s="120" t="s">
        <v>908</v>
      </c>
      <c r="I6" s="228" t="s">
        <v>1043</v>
      </c>
      <c r="J6" s="228"/>
      <c r="K6" s="228"/>
      <c r="L6" s="119"/>
      <c r="M6" s="119"/>
      <c r="N6" s="119"/>
      <c r="O6" s="119"/>
      <c r="P6" s="229" t="s">
        <v>909</v>
      </c>
      <c r="Q6" s="229"/>
      <c r="R6" s="118" t="s">
        <v>910</v>
      </c>
      <c r="X6" s="232" t="s">
        <v>911</v>
      </c>
      <c r="Y6" s="233"/>
      <c r="Z6" s="233"/>
      <c r="AA6" s="233"/>
      <c r="AB6" s="233"/>
      <c r="AC6" s="233"/>
      <c r="AD6" s="233"/>
      <c r="AE6" s="233"/>
      <c r="AF6" s="234"/>
    </row>
    <row r="7" spans="2:32" ht="15.75" customHeight="1" thickBot="1" x14ac:dyDescent="0.3">
      <c r="B7" s="124"/>
      <c r="C7" s="124"/>
      <c r="D7" s="124"/>
      <c r="E7" s="128"/>
      <c r="F7" s="129"/>
      <c r="G7" s="129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T7" s="235" t="s">
        <v>912</v>
      </c>
      <c r="U7" s="236"/>
      <c r="V7" s="237"/>
      <c r="X7" s="238" t="s">
        <v>913</v>
      </c>
      <c r="Y7" s="239"/>
      <c r="Z7" s="239"/>
      <c r="AA7" s="239"/>
      <c r="AB7" s="240"/>
      <c r="AC7" s="238" t="s">
        <v>914</v>
      </c>
      <c r="AD7" s="240"/>
      <c r="AE7" s="238" t="s">
        <v>915</v>
      </c>
      <c r="AF7" s="240"/>
    </row>
    <row r="8" spans="2:32" ht="46.5" customHeight="1" thickBot="1" x14ac:dyDescent="0.3">
      <c r="B8" s="130" t="s">
        <v>916</v>
      </c>
      <c r="C8" s="131" t="s">
        <v>917</v>
      </c>
      <c r="D8" s="132" t="s">
        <v>918</v>
      </c>
      <c r="E8" s="132" t="s">
        <v>919</v>
      </c>
      <c r="F8" s="133" t="s">
        <v>920</v>
      </c>
      <c r="G8" s="132" t="s">
        <v>921</v>
      </c>
      <c r="H8" s="133" t="s">
        <v>13</v>
      </c>
      <c r="I8" s="134" t="s">
        <v>922</v>
      </c>
      <c r="J8" s="135" t="s">
        <v>923</v>
      </c>
      <c r="K8" s="134" t="s">
        <v>924</v>
      </c>
      <c r="L8" s="135" t="s">
        <v>925</v>
      </c>
      <c r="M8" s="135" t="s">
        <v>926</v>
      </c>
      <c r="N8" s="134" t="s">
        <v>927</v>
      </c>
      <c r="O8" s="134" t="s">
        <v>928</v>
      </c>
      <c r="P8" s="135" t="s">
        <v>929</v>
      </c>
      <c r="Q8" s="135" t="s">
        <v>930</v>
      </c>
      <c r="R8" s="136" t="s">
        <v>32</v>
      </c>
      <c r="T8" s="137" t="s">
        <v>931</v>
      </c>
      <c r="U8" s="138" t="s">
        <v>932</v>
      </c>
      <c r="V8" s="139" t="s">
        <v>933</v>
      </c>
      <c r="X8" s="137" t="s">
        <v>934</v>
      </c>
      <c r="Y8" s="138" t="s">
        <v>935</v>
      </c>
      <c r="Z8" s="138" t="s">
        <v>936</v>
      </c>
      <c r="AA8" s="138" t="s">
        <v>937</v>
      </c>
      <c r="AB8" s="140" t="s">
        <v>938</v>
      </c>
      <c r="AC8" s="141" t="s">
        <v>939</v>
      </c>
      <c r="AD8" s="142" t="s">
        <v>940</v>
      </c>
      <c r="AE8" s="137" t="s">
        <v>941</v>
      </c>
      <c r="AF8" s="143" t="s">
        <v>942</v>
      </c>
    </row>
    <row r="9" spans="2:32" ht="35.1" customHeight="1" x14ac:dyDescent="0.25">
      <c r="B9" s="144"/>
      <c r="C9" s="145"/>
      <c r="D9" s="146"/>
      <c r="E9" s="147" t="s">
        <v>943</v>
      </c>
      <c r="F9" s="148">
        <f>+I2-6</f>
        <v>46117</v>
      </c>
      <c r="G9" s="147"/>
      <c r="H9" s="149"/>
      <c r="I9" s="146"/>
      <c r="J9" s="146"/>
      <c r="K9" s="146"/>
      <c r="L9" s="146"/>
      <c r="M9" s="146"/>
      <c r="N9" s="146"/>
      <c r="O9" s="146"/>
      <c r="P9" s="150"/>
      <c r="Q9" s="151"/>
      <c r="R9" s="152"/>
      <c r="T9" s="153"/>
      <c r="U9" s="154"/>
      <c r="V9" s="155"/>
      <c r="X9" s="153"/>
      <c r="Y9" s="156"/>
      <c r="Z9" s="157"/>
      <c r="AA9" s="156"/>
      <c r="AB9" s="158"/>
      <c r="AC9" s="153"/>
      <c r="AD9" s="158"/>
      <c r="AE9" s="156"/>
      <c r="AF9" s="159"/>
    </row>
    <row r="10" spans="2:32" ht="35.1" customHeight="1" x14ac:dyDescent="0.25">
      <c r="B10" s="144"/>
      <c r="C10" s="145"/>
      <c r="D10" s="146"/>
      <c r="E10" s="147" t="s">
        <v>944</v>
      </c>
      <c r="F10" s="148">
        <f>+I2-5</f>
        <v>46118</v>
      </c>
      <c r="G10" s="147"/>
      <c r="H10" s="149"/>
      <c r="I10" s="146"/>
      <c r="J10" s="146"/>
      <c r="K10" s="146"/>
      <c r="L10" s="146"/>
      <c r="M10" s="146"/>
      <c r="N10" s="146"/>
      <c r="O10" s="146"/>
      <c r="P10" s="150"/>
      <c r="Q10" s="151"/>
      <c r="R10" s="152"/>
      <c r="T10" s="161"/>
      <c r="U10" s="162"/>
      <c r="V10" s="163"/>
      <c r="X10" s="164"/>
      <c r="Y10" s="165"/>
      <c r="Z10" s="166"/>
      <c r="AA10" s="165"/>
      <c r="AB10" s="167"/>
      <c r="AC10" s="164"/>
      <c r="AD10" s="167"/>
      <c r="AE10" s="165"/>
      <c r="AF10" s="168"/>
    </row>
    <row r="11" spans="2:32" ht="35.1" customHeight="1" x14ac:dyDescent="0.25">
      <c r="B11" s="144" t="s">
        <v>961</v>
      </c>
      <c r="C11" s="145" t="s">
        <v>960</v>
      </c>
      <c r="D11" s="146" t="s">
        <v>346</v>
      </c>
      <c r="E11" s="160" t="s">
        <v>419</v>
      </c>
      <c r="F11" s="160" t="s">
        <v>420</v>
      </c>
      <c r="G11" s="146"/>
      <c r="H11" s="149"/>
      <c r="I11" s="146"/>
      <c r="J11" s="146" t="s">
        <v>1052</v>
      </c>
      <c r="K11" s="146" t="s">
        <v>1025</v>
      </c>
      <c r="L11" s="146" t="s">
        <v>990</v>
      </c>
      <c r="M11" s="146"/>
      <c r="N11" s="146"/>
      <c r="O11" s="146">
        <v>287.39999999999998</v>
      </c>
      <c r="P11" s="150">
        <v>3.9</v>
      </c>
      <c r="Q11" s="151">
        <f>+O11*P11</f>
        <v>1120.8599999999999</v>
      </c>
      <c r="R11" s="152"/>
      <c r="T11" s="161"/>
      <c r="U11" s="162"/>
      <c r="V11" s="163"/>
      <c r="X11" s="164"/>
      <c r="Y11" s="165"/>
      <c r="Z11" s="166"/>
      <c r="AA11" s="165"/>
      <c r="AB11" s="167"/>
      <c r="AC11" s="164"/>
      <c r="AD11" s="167"/>
      <c r="AE11" s="165"/>
      <c r="AF11" s="168"/>
    </row>
    <row r="12" spans="2:32" ht="35.1" customHeight="1" x14ac:dyDescent="0.25">
      <c r="B12" s="144" t="s">
        <v>961</v>
      </c>
      <c r="C12" s="145" t="s">
        <v>960</v>
      </c>
      <c r="D12" s="146" t="s">
        <v>326</v>
      </c>
      <c r="E12" s="160" t="s">
        <v>393</v>
      </c>
      <c r="F12" s="160" t="s">
        <v>391</v>
      </c>
      <c r="G12" s="146"/>
      <c r="H12" s="149"/>
      <c r="I12" s="146"/>
      <c r="J12" s="146" t="s">
        <v>1052</v>
      </c>
      <c r="K12" s="146" t="s">
        <v>1025</v>
      </c>
      <c r="L12" s="146" t="s">
        <v>990</v>
      </c>
      <c r="M12" s="146"/>
      <c r="N12" s="146"/>
      <c r="O12" s="146">
        <v>112.2</v>
      </c>
      <c r="P12" s="150">
        <v>3.9</v>
      </c>
      <c r="Q12" s="151">
        <f>+O12*P12</f>
        <v>437.58</v>
      </c>
      <c r="R12" s="152"/>
      <c r="T12" s="161"/>
      <c r="U12" s="162"/>
      <c r="V12" s="163"/>
      <c r="X12" s="164"/>
      <c r="Y12" s="165"/>
      <c r="Z12" s="166"/>
      <c r="AA12" s="165"/>
      <c r="AB12" s="167"/>
      <c r="AC12" s="164"/>
      <c r="AD12" s="167"/>
      <c r="AE12" s="165"/>
      <c r="AF12" s="168"/>
    </row>
    <row r="13" spans="2:32" ht="35.1" customHeight="1" x14ac:dyDescent="0.25">
      <c r="B13" s="144" t="s">
        <v>961</v>
      </c>
      <c r="C13" s="145" t="s">
        <v>960</v>
      </c>
      <c r="D13" s="146" t="s">
        <v>327</v>
      </c>
      <c r="E13" s="160" t="s">
        <v>394</v>
      </c>
      <c r="F13" s="160" t="s">
        <v>393</v>
      </c>
      <c r="G13" s="146"/>
      <c r="H13" s="149"/>
      <c r="I13" s="146"/>
      <c r="J13" s="146" t="s">
        <v>1052</v>
      </c>
      <c r="K13" s="146" t="s">
        <v>1025</v>
      </c>
      <c r="L13" s="146" t="s">
        <v>990</v>
      </c>
      <c r="M13" s="146"/>
      <c r="N13" s="146"/>
      <c r="O13" s="146">
        <v>193.5</v>
      </c>
      <c r="P13" s="150">
        <v>3.9</v>
      </c>
      <c r="Q13" s="151">
        <f>+O13*P13</f>
        <v>754.65</v>
      </c>
      <c r="R13" s="152"/>
      <c r="T13" s="161"/>
      <c r="U13" s="162"/>
      <c r="V13" s="163"/>
      <c r="X13" s="164"/>
      <c r="Y13" s="165"/>
      <c r="Z13" s="166"/>
      <c r="AA13" s="165"/>
      <c r="AB13" s="167"/>
      <c r="AC13" s="164"/>
      <c r="AD13" s="167"/>
      <c r="AE13" s="165"/>
      <c r="AF13" s="168"/>
    </row>
    <row r="14" spans="2:32" ht="35.1" customHeight="1" x14ac:dyDescent="0.25">
      <c r="B14" s="144" t="s">
        <v>961</v>
      </c>
      <c r="C14" s="145" t="s">
        <v>960</v>
      </c>
      <c r="D14" s="146" t="s">
        <v>328</v>
      </c>
      <c r="E14" s="160" t="s">
        <v>395</v>
      </c>
      <c r="F14" s="160" t="s">
        <v>393</v>
      </c>
      <c r="G14" s="146"/>
      <c r="H14" s="149"/>
      <c r="I14" s="146"/>
      <c r="J14" s="146" t="s">
        <v>1052</v>
      </c>
      <c r="K14" s="146" t="s">
        <v>1025</v>
      </c>
      <c r="L14" s="146" t="s">
        <v>990</v>
      </c>
      <c r="M14" s="146"/>
      <c r="N14" s="146"/>
      <c r="O14" s="146">
        <v>123.2</v>
      </c>
      <c r="P14" s="150">
        <v>3.9</v>
      </c>
      <c r="Q14" s="151">
        <f>+O14*P14</f>
        <v>480.48</v>
      </c>
      <c r="R14" s="152"/>
      <c r="T14" s="161"/>
      <c r="U14" s="162"/>
      <c r="V14" s="163"/>
      <c r="X14" s="164"/>
      <c r="Y14" s="165"/>
      <c r="Z14" s="166"/>
      <c r="AA14" s="165"/>
      <c r="AB14" s="167"/>
      <c r="AC14" s="164"/>
      <c r="AD14" s="167"/>
      <c r="AE14" s="165"/>
      <c r="AF14" s="168"/>
    </row>
    <row r="15" spans="2:32" ht="35.1" customHeight="1" x14ac:dyDescent="0.25">
      <c r="B15" s="144" t="s">
        <v>961</v>
      </c>
      <c r="C15" s="145" t="s">
        <v>960</v>
      </c>
      <c r="D15" s="146" t="s">
        <v>307</v>
      </c>
      <c r="E15" s="160" t="s">
        <v>463</v>
      </c>
      <c r="F15" s="160" t="s">
        <v>369</v>
      </c>
      <c r="G15" s="146"/>
      <c r="H15" s="149"/>
      <c r="I15" s="146"/>
      <c r="J15" s="146" t="s">
        <v>1052</v>
      </c>
      <c r="K15" s="146" t="s">
        <v>1025</v>
      </c>
      <c r="L15" s="146" t="s">
        <v>990</v>
      </c>
      <c r="M15" s="146"/>
      <c r="N15" s="146"/>
      <c r="O15" s="146">
        <v>374.3</v>
      </c>
      <c r="P15" s="150">
        <v>3.9</v>
      </c>
      <c r="Q15" s="151">
        <f>+O15*P15</f>
        <v>1459.77</v>
      </c>
      <c r="R15" s="152"/>
      <c r="T15" s="161"/>
      <c r="U15" s="162"/>
      <c r="V15" s="163"/>
      <c r="X15" s="164"/>
      <c r="Y15" s="165"/>
      <c r="Z15" s="166"/>
      <c r="AA15" s="165"/>
      <c r="AB15" s="167"/>
      <c r="AC15" s="164"/>
      <c r="AD15" s="167"/>
      <c r="AE15" s="165"/>
      <c r="AF15" s="168"/>
    </row>
    <row r="16" spans="2:32" ht="35.1" customHeight="1" x14ac:dyDescent="0.25">
      <c r="B16" s="144" t="s">
        <v>961</v>
      </c>
      <c r="C16" s="145" t="s">
        <v>960</v>
      </c>
      <c r="D16" s="146" t="s">
        <v>308</v>
      </c>
      <c r="E16" s="160" t="s">
        <v>464</v>
      </c>
      <c r="F16" s="160" t="s">
        <v>463</v>
      </c>
      <c r="G16" s="146"/>
      <c r="H16" s="149"/>
      <c r="I16" s="146"/>
      <c r="J16" s="146" t="s">
        <v>1052</v>
      </c>
      <c r="K16" s="146" t="s">
        <v>1025</v>
      </c>
      <c r="L16" s="146" t="s">
        <v>990</v>
      </c>
      <c r="M16" s="146"/>
      <c r="N16" s="146"/>
      <c r="O16" s="146">
        <v>370.8</v>
      </c>
      <c r="P16" s="150">
        <v>3.9</v>
      </c>
      <c r="Q16" s="151">
        <f>+O16*P16</f>
        <v>1446.1200000000001</v>
      </c>
      <c r="R16" s="152"/>
      <c r="T16" s="161"/>
      <c r="U16" s="162"/>
      <c r="V16" s="163"/>
      <c r="X16" s="164"/>
      <c r="Y16" s="165"/>
      <c r="Z16" s="166"/>
      <c r="AA16" s="165"/>
      <c r="AB16" s="167"/>
      <c r="AC16" s="164"/>
      <c r="AD16" s="167"/>
      <c r="AE16" s="165"/>
      <c r="AF16" s="168"/>
    </row>
    <row r="17" spans="2:32" ht="35.1" customHeight="1" x14ac:dyDescent="0.25">
      <c r="B17" s="144" t="s">
        <v>961</v>
      </c>
      <c r="C17" s="145" t="s">
        <v>960</v>
      </c>
      <c r="D17" s="146" t="s">
        <v>323</v>
      </c>
      <c r="E17" s="160" t="s">
        <v>389</v>
      </c>
      <c r="F17" s="160" t="s">
        <v>388</v>
      </c>
      <c r="G17" s="146"/>
      <c r="H17" s="149"/>
      <c r="I17" s="146"/>
      <c r="J17" s="146" t="s">
        <v>1052</v>
      </c>
      <c r="K17" s="146" t="s">
        <v>1025</v>
      </c>
      <c r="L17" s="146" t="s">
        <v>990</v>
      </c>
      <c r="M17" s="146"/>
      <c r="N17" s="146"/>
      <c r="O17" s="146">
        <v>73.099999999999994</v>
      </c>
      <c r="P17" s="150">
        <v>3.9</v>
      </c>
      <c r="Q17" s="151">
        <f>+O17*P17</f>
        <v>285.08999999999997</v>
      </c>
      <c r="R17" s="152"/>
      <c r="T17" s="161"/>
      <c r="U17" s="162"/>
      <c r="V17" s="163"/>
      <c r="X17" s="164"/>
      <c r="Y17" s="165"/>
      <c r="Z17" s="166"/>
      <c r="AA17" s="165"/>
      <c r="AB17" s="167"/>
      <c r="AC17" s="164"/>
      <c r="AD17" s="167"/>
      <c r="AE17" s="165"/>
      <c r="AF17" s="168"/>
    </row>
    <row r="18" spans="2:32" ht="35.1" customHeight="1" x14ac:dyDescent="0.25">
      <c r="B18" s="144" t="s">
        <v>961</v>
      </c>
      <c r="C18" s="145" t="s">
        <v>960</v>
      </c>
      <c r="D18" s="146" t="s">
        <v>324</v>
      </c>
      <c r="E18" s="160" t="s">
        <v>390</v>
      </c>
      <c r="F18" s="160" t="s">
        <v>389</v>
      </c>
      <c r="G18" s="146"/>
      <c r="H18" s="149"/>
      <c r="I18" s="146"/>
      <c r="J18" s="146" t="s">
        <v>1052</v>
      </c>
      <c r="K18" s="146" t="s">
        <v>1025</v>
      </c>
      <c r="L18" s="146" t="s">
        <v>990</v>
      </c>
      <c r="M18" s="146"/>
      <c r="N18" s="146"/>
      <c r="O18" s="146">
        <v>101.5</v>
      </c>
      <c r="P18" s="150">
        <v>3.9</v>
      </c>
      <c r="Q18" s="151">
        <f>+O18*P18</f>
        <v>395.84999999999997</v>
      </c>
      <c r="R18" s="152"/>
      <c r="T18" s="161"/>
      <c r="U18" s="162"/>
      <c r="V18" s="163"/>
      <c r="X18" s="164"/>
      <c r="Y18" s="165"/>
      <c r="Z18" s="166"/>
      <c r="AA18" s="165"/>
      <c r="AB18" s="167"/>
      <c r="AC18" s="164"/>
      <c r="AD18" s="167"/>
      <c r="AE18" s="165"/>
      <c r="AF18" s="168"/>
    </row>
    <row r="19" spans="2:32" ht="35.1" customHeight="1" x14ac:dyDescent="0.25">
      <c r="B19" s="144"/>
      <c r="C19" s="145"/>
      <c r="D19" s="146"/>
      <c r="E19" s="147" t="s">
        <v>945</v>
      </c>
      <c r="F19" s="148">
        <f>+I2-4</f>
        <v>46119</v>
      </c>
      <c r="G19" s="147"/>
      <c r="H19" s="149"/>
      <c r="I19" s="146"/>
      <c r="J19" s="146"/>
      <c r="K19" s="146"/>
      <c r="L19" s="146"/>
      <c r="M19" s="146"/>
      <c r="N19" s="146"/>
      <c r="O19" s="146"/>
      <c r="P19" s="150"/>
      <c r="Q19" s="151">
        <f t="shared" ref="Q10:Q43" si="0">+O19*P19</f>
        <v>0</v>
      </c>
      <c r="R19" s="152"/>
      <c r="T19" s="161"/>
      <c r="U19" s="162"/>
      <c r="V19" s="163"/>
      <c r="X19" s="164"/>
      <c r="Y19" s="165"/>
      <c r="Z19" s="166"/>
      <c r="AA19" s="165"/>
      <c r="AB19" s="167"/>
      <c r="AC19" s="164"/>
      <c r="AD19" s="167"/>
      <c r="AE19" s="165"/>
      <c r="AF19" s="168"/>
    </row>
    <row r="20" spans="2:32" ht="35.1" customHeight="1" x14ac:dyDescent="0.25">
      <c r="B20" s="144" t="s">
        <v>961</v>
      </c>
      <c r="C20" s="145" t="s">
        <v>960</v>
      </c>
      <c r="D20" s="146"/>
      <c r="E20" s="160"/>
      <c r="F20" s="160"/>
      <c r="G20" s="146"/>
      <c r="H20" s="149"/>
      <c r="I20" s="146"/>
      <c r="J20" s="146" t="s">
        <v>1052</v>
      </c>
      <c r="K20" s="146" t="s">
        <v>1025</v>
      </c>
      <c r="L20" s="146" t="s">
        <v>990</v>
      </c>
      <c r="M20" s="146"/>
      <c r="N20" s="146"/>
      <c r="O20" s="146"/>
      <c r="P20" s="150">
        <v>3.9</v>
      </c>
      <c r="Q20" s="151">
        <f>+O20*P20</f>
        <v>0</v>
      </c>
      <c r="R20" s="152"/>
      <c r="T20" s="161"/>
      <c r="U20" s="162"/>
      <c r="V20" s="163"/>
      <c r="X20" s="164"/>
      <c r="Y20" s="165"/>
      <c r="Z20" s="166"/>
      <c r="AA20" s="165"/>
      <c r="AB20" s="167"/>
      <c r="AC20" s="164"/>
      <c r="AD20" s="167"/>
      <c r="AE20" s="165"/>
      <c r="AF20" s="168"/>
    </row>
    <row r="21" spans="2:32" ht="35.1" customHeight="1" x14ac:dyDescent="0.25">
      <c r="B21" s="144" t="s">
        <v>961</v>
      </c>
      <c r="C21" s="145" t="s">
        <v>960</v>
      </c>
      <c r="D21" s="146"/>
      <c r="E21" s="160"/>
      <c r="F21" s="160"/>
      <c r="G21" s="146"/>
      <c r="H21" s="149"/>
      <c r="I21" s="146"/>
      <c r="J21" s="146" t="s">
        <v>1052</v>
      </c>
      <c r="K21" s="146" t="s">
        <v>1025</v>
      </c>
      <c r="L21" s="146" t="s">
        <v>990</v>
      </c>
      <c r="M21" s="146"/>
      <c r="N21" s="146"/>
      <c r="O21" s="146"/>
      <c r="P21" s="150">
        <v>3.9</v>
      </c>
      <c r="Q21" s="151">
        <f>+O21*P21</f>
        <v>0</v>
      </c>
      <c r="R21" s="152"/>
      <c r="T21" s="161"/>
      <c r="U21" s="162"/>
      <c r="V21" s="163"/>
      <c r="X21" s="164"/>
      <c r="Y21" s="165"/>
      <c r="Z21" s="166"/>
      <c r="AA21" s="165"/>
      <c r="AB21" s="167"/>
      <c r="AC21" s="164"/>
      <c r="AD21" s="167"/>
      <c r="AE21" s="165"/>
      <c r="AF21" s="168"/>
    </row>
    <row r="22" spans="2:32" ht="35.1" customHeight="1" x14ac:dyDescent="0.25">
      <c r="B22" s="144" t="s">
        <v>961</v>
      </c>
      <c r="C22" s="145" t="s">
        <v>960</v>
      </c>
      <c r="D22" s="146"/>
      <c r="E22" s="160"/>
      <c r="F22" s="160"/>
      <c r="G22" s="146"/>
      <c r="H22" s="149"/>
      <c r="I22" s="146"/>
      <c r="J22" s="146" t="s">
        <v>1052</v>
      </c>
      <c r="K22" s="146" t="s">
        <v>1025</v>
      </c>
      <c r="L22" s="146" t="s">
        <v>990</v>
      </c>
      <c r="M22" s="146"/>
      <c r="N22" s="146"/>
      <c r="O22" s="146"/>
      <c r="P22" s="150">
        <v>3.9</v>
      </c>
      <c r="Q22" s="151">
        <f>+O22*P22</f>
        <v>0</v>
      </c>
      <c r="R22" s="152"/>
      <c r="T22" s="161"/>
      <c r="U22" s="162"/>
      <c r="V22" s="163"/>
      <c r="X22" s="164"/>
      <c r="Y22" s="165"/>
      <c r="Z22" s="166"/>
      <c r="AA22" s="165"/>
      <c r="AB22" s="167"/>
      <c r="AC22" s="164"/>
      <c r="AD22" s="167"/>
      <c r="AE22" s="165"/>
      <c r="AF22" s="168"/>
    </row>
    <row r="23" spans="2:32" ht="35.1" customHeight="1" x14ac:dyDescent="0.25">
      <c r="B23" s="144" t="s">
        <v>961</v>
      </c>
      <c r="C23" s="145" t="s">
        <v>960</v>
      </c>
      <c r="D23" s="146"/>
      <c r="E23" s="160"/>
      <c r="F23" s="160"/>
      <c r="G23" s="146"/>
      <c r="H23" s="149"/>
      <c r="I23" s="146"/>
      <c r="J23" s="146" t="s">
        <v>1052</v>
      </c>
      <c r="K23" s="146" t="s">
        <v>1025</v>
      </c>
      <c r="L23" s="146" t="s">
        <v>990</v>
      </c>
      <c r="M23" s="146"/>
      <c r="N23" s="146"/>
      <c r="O23" s="146"/>
      <c r="P23" s="150">
        <v>3.9</v>
      </c>
      <c r="Q23" s="151">
        <f>+O23*P23</f>
        <v>0</v>
      </c>
      <c r="R23" s="152"/>
      <c r="T23" s="161"/>
      <c r="U23" s="162"/>
      <c r="V23" s="163"/>
      <c r="X23" s="164"/>
      <c r="Y23" s="165"/>
      <c r="Z23" s="166"/>
      <c r="AA23" s="165"/>
      <c r="AB23" s="167"/>
      <c r="AC23" s="164"/>
      <c r="AD23" s="167"/>
      <c r="AE23" s="165"/>
      <c r="AF23" s="168"/>
    </row>
    <row r="24" spans="2:32" ht="35.1" customHeight="1" x14ac:dyDescent="0.25">
      <c r="B24" s="144" t="s">
        <v>961</v>
      </c>
      <c r="C24" s="145" t="s">
        <v>960</v>
      </c>
      <c r="D24" s="146"/>
      <c r="E24" s="160"/>
      <c r="F24" s="160"/>
      <c r="G24" s="146"/>
      <c r="H24" s="149"/>
      <c r="I24" s="146"/>
      <c r="J24" s="146" t="s">
        <v>1052</v>
      </c>
      <c r="K24" s="146" t="s">
        <v>1025</v>
      </c>
      <c r="L24" s="146" t="s">
        <v>990</v>
      </c>
      <c r="M24" s="146"/>
      <c r="N24" s="146"/>
      <c r="O24" s="146"/>
      <c r="P24" s="150">
        <v>3.9</v>
      </c>
      <c r="Q24" s="151">
        <f>+O24*P24</f>
        <v>0</v>
      </c>
      <c r="R24" s="152"/>
      <c r="T24" s="161"/>
      <c r="U24" s="162"/>
      <c r="V24" s="163"/>
      <c r="X24" s="164"/>
      <c r="Y24" s="165"/>
      <c r="Z24" s="166"/>
      <c r="AA24" s="165"/>
      <c r="AB24" s="167"/>
      <c r="AC24" s="164"/>
      <c r="AD24" s="167"/>
      <c r="AE24" s="165"/>
      <c r="AF24" s="168"/>
    </row>
    <row r="25" spans="2:32" ht="35.1" customHeight="1" x14ac:dyDescent="0.25">
      <c r="B25" s="144" t="s">
        <v>961</v>
      </c>
      <c r="C25" s="145" t="s">
        <v>960</v>
      </c>
      <c r="D25" s="146"/>
      <c r="E25" s="160"/>
      <c r="F25" s="160"/>
      <c r="G25" s="146"/>
      <c r="H25" s="149"/>
      <c r="I25" s="146"/>
      <c r="J25" s="146" t="s">
        <v>1052</v>
      </c>
      <c r="K25" s="146" t="s">
        <v>1025</v>
      </c>
      <c r="L25" s="146" t="s">
        <v>990</v>
      </c>
      <c r="M25" s="146"/>
      <c r="N25" s="146"/>
      <c r="O25" s="146"/>
      <c r="P25" s="150">
        <v>3.9</v>
      </c>
      <c r="Q25" s="151">
        <f>+O25*P25</f>
        <v>0</v>
      </c>
      <c r="R25" s="152"/>
      <c r="T25" s="161"/>
      <c r="U25" s="162"/>
      <c r="V25" s="163"/>
      <c r="X25" s="164"/>
      <c r="Y25" s="165"/>
      <c r="Z25" s="166"/>
      <c r="AA25" s="165"/>
      <c r="AB25" s="167"/>
      <c r="AC25" s="164"/>
      <c r="AD25" s="167"/>
      <c r="AE25" s="165"/>
      <c r="AF25" s="168"/>
    </row>
    <row r="26" spans="2:32" ht="35.1" customHeight="1" x14ac:dyDescent="0.25">
      <c r="B26" s="144" t="s">
        <v>961</v>
      </c>
      <c r="C26" s="145" t="s">
        <v>960</v>
      </c>
      <c r="D26" s="146"/>
      <c r="E26" s="160"/>
      <c r="F26" s="160"/>
      <c r="G26" s="146"/>
      <c r="H26" s="149"/>
      <c r="I26" s="146"/>
      <c r="J26" s="146" t="s">
        <v>1052</v>
      </c>
      <c r="K26" s="146" t="s">
        <v>1025</v>
      </c>
      <c r="L26" s="146" t="s">
        <v>990</v>
      </c>
      <c r="M26" s="146"/>
      <c r="N26" s="146"/>
      <c r="O26" s="146"/>
      <c r="P26" s="150">
        <v>3.9</v>
      </c>
      <c r="Q26" s="151">
        <f>+O26*P26</f>
        <v>0</v>
      </c>
      <c r="R26" s="152"/>
      <c r="T26" s="161"/>
      <c r="U26" s="162"/>
      <c r="V26" s="163"/>
      <c r="X26" s="164"/>
      <c r="Y26" s="165"/>
      <c r="Z26" s="166"/>
      <c r="AA26" s="165"/>
      <c r="AB26" s="167"/>
      <c r="AC26" s="164"/>
      <c r="AD26" s="167"/>
      <c r="AE26" s="165"/>
      <c r="AF26" s="168"/>
    </row>
    <row r="27" spans="2:32" ht="34.5" customHeight="1" x14ac:dyDescent="0.25">
      <c r="B27" s="144" t="s">
        <v>961</v>
      </c>
      <c r="C27" s="145" t="s">
        <v>960</v>
      </c>
      <c r="D27" s="146"/>
      <c r="E27" s="160"/>
      <c r="F27" s="160"/>
      <c r="G27" s="146"/>
      <c r="H27" s="149"/>
      <c r="I27" s="146"/>
      <c r="J27" s="146" t="s">
        <v>1052</v>
      </c>
      <c r="K27" s="146" t="s">
        <v>1025</v>
      </c>
      <c r="L27" s="146" t="s">
        <v>990</v>
      </c>
      <c r="M27" s="146"/>
      <c r="N27" s="146"/>
      <c r="O27" s="146"/>
      <c r="P27" s="150">
        <v>3.9</v>
      </c>
      <c r="Q27" s="151">
        <f>+O27*P27</f>
        <v>0</v>
      </c>
      <c r="R27" s="152"/>
      <c r="T27" s="161"/>
      <c r="U27" s="162"/>
      <c r="V27" s="163"/>
      <c r="X27" s="164"/>
      <c r="Y27" s="165"/>
      <c r="Z27" s="166"/>
      <c r="AA27" s="165"/>
      <c r="AB27" s="167"/>
      <c r="AC27" s="164"/>
      <c r="AD27" s="167"/>
      <c r="AE27" s="165"/>
      <c r="AF27" s="168"/>
    </row>
    <row r="28" spans="2:32" ht="35.1" customHeight="1" x14ac:dyDescent="0.25">
      <c r="B28" s="144" t="s">
        <v>961</v>
      </c>
      <c r="C28" s="145" t="s">
        <v>960</v>
      </c>
      <c r="D28" s="146"/>
      <c r="E28" s="160"/>
      <c r="F28" s="160"/>
      <c r="G28" s="146"/>
      <c r="H28" s="149"/>
      <c r="I28" s="146"/>
      <c r="J28" s="146" t="s">
        <v>1052</v>
      </c>
      <c r="K28" s="146" t="s">
        <v>1025</v>
      </c>
      <c r="L28" s="146" t="s">
        <v>990</v>
      </c>
      <c r="M28" s="146"/>
      <c r="N28" s="146"/>
      <c r="O28" s="146"/>
      <c r="P28" s="150">
        <v>3.9</v>
      </c>
      <c r="Q28" s="151">
        <f>+O28*P28</f>
        <v>0</v>
      </c>
      <c r="R28" s="152"/>
      <c r="T28" s="161"/>
      <c r="U28" s="162"/>
      <c r="V28" s="163"/>
      <c r="X28" s="164"/>
      <c r="Y28" s="165"/>
      <c r="Z28" s="166"/>
      <c r="AA28" s="165"/>
      <c r="AB28" s="167"/>
      <c r="AC28" s="164"/>
      <c r="AD28" s="167"/>
      <c r="AE28" s="165"/>
      <c r="AF28" s="168"/>
    </row>
    <row r="29" spans="2:32" ht="35.1" customHeight="1" x14ac:dyDescent="0.25">
      <c r="B29" s="144" t="s">
        <v>961</v>
      </c>
      <c r="C29" s="145" t="s">
        <v>960</v>
      </c>
      <c r="D29" s="146"/>
      <c r="E29" s="160"/>
      <c r="F29" s="160"/>
      <c r="G29" s="146"/>
      <c r="H29" s="149"/>
      <c r="I29" s="146"/>
      <c r="J29" s="146" t="s">
        <v>1052</v>
      </c>
      <c r="K29" s="146" t="s">
        <v>1025</v>
      </c>
      <c r="L29" s="146" t="s">
        <v>990</v>
      </c>
      <c r="M29" s="146"/>
      <c r="N29" s="146"/>
      <c r="O29" s="146"/>
      <c r="P29" s="150">
        <v>3.9</v>
      </c>
      <c r="Q29" s="151">
        <f>+O29*P29</f>
        <v>0</v>
      </c>
      <c r="R29" s="152"/>
      <c r="T29" s="161"/>
      <c r="U29" s="162"/>
      <c r="V29" s="163"/>
      <c r="X29" s="164"/>
      <c r="Y29" s="165"/>
      <c r="Z29" s="166"/>
      <c r="AA29" s="165"/>
      <c r="AB29" s="167"/>
      <c r="AC29" s="164"/>
      <c r="AD29" s="167"/>
      <c r="AE29" s="165"/>
      <c r="AF29" s="168"/>
    </row>
    <row r="30" spans="2:32" ht="35.1" customHeight="1" x14ac:dyDescent="0.25">
      <c r="B30" s="144" t="s">
        <v>961</v>
      </c>
      <c r="C30" s="145" t="s">
        <v>960</v>
      </c>
      <c r="D30" s="146"/>
      <c r="E30" s="160"/>
      <c r="F30" s="160"/>
      <c r="G30" s="146"/>
      <c r="H30" s="149"/>
      <c r="I30" s="146"/>
      <c r="J30" s="146" t="s">
        <v>1052</v>
      </c>
      <c r="K30" s="146" t="s">
        <v>1025</v>
      </c>
      <c r="L30" s="146" t="s">
        <v>990</v>
      </c>
      <c r="M30" s="146"/>
      <c r="N30" s="146"/>
      <c r="O30" s="146"/>
      <c r="P30" s="150">
        <v>3.9</v>
      </c>
      <c r="Q30" s="151">
        <f>+O30*P30</f>
        <v>0</v>
      </c>
      <c r="R30" s="152"/>
      <c r="T30" s="161"/>
      <c r="U30" s="162"/>
      <c r="V30" s="163"/>
      <c r="X30" s="164"/>
      <c r="Y30" s="165"/>
      <c r="Z30" s="166"/>
      <c r="AA30" s="165"/>
      <c r="AB30" s="167"/>
      <c r="AC30" s="164"/>
      <c r="AD30" s="167"/>
      <c r="AE30" s="165"/>
      <c r="AF30" s="168"/>
    </row>
    <row r="31" spans="2:32" ht="35.1" customHeight="1" x14ac:dyDescent="0.25">
      <c r="B31" s="144" t="s">
        <v>961</v>
      </c>
      <c r="C31" s="145" t="s">
        <v>960</v>
      </c>
      <c r="D31" s="146"/>
      <c r="E31" s="160"/>
      <c r="F31" s="160"/>
      <c r="G31" s="146"/>
      <c r="H31" s="149"/>
      <c r="I31" s="146"/>
      <c r="J31" s="146" t="s">
        <v>1052</v>
      </c>
      <c r="K31" s="146" t="s">
        <v>1025</v>
      </c>
      <c r="L31" s="146" t="s">
        <v>990</v>
      </c>
      <c r="M31" s="146"/>
      <c r="N31" s="146"/>
      <c r="O31" s="146"/>
      <c r="P31" s="150">
        <v>3.9</v>
      </c>
      <c r="Q31" s="151">
        <f>+O31*P31</f>
        <v>0</v>
      </c>
      <c r="R31" s="152"/>
      <c r="T31" s="161"/>
      <c r="U31" s="162"/>
      <c r="V31" s="163"/>
      <c r="X31" s="164"/>
      <c r="Y31" s="165"/>
      <c r="Z31" s="166"/>
      <c r="AA31" s="165"/>
      <c r="AB31" s="167"/>
      <c r="AC31" s="164"/>
      <c r="AD31" s="167"/>
      <c r="AE31" s="165"/>
      <c r="AF31" s="168"/>
    </row>
    <row r="32" spans="2:32" ht="35.1" customHeight="1" x14ac:dyDescent="0.25">
      <c r="B32" s="144" t="s">
        <v>961</v>
      </c>
      <c r="C32" s="145" t="s">
        <v>960</v>
      </c>
      <c r="D32" s="146"/>
      <c r="E32" s="160"/>
      <c r="F32" s="160"/>
      <c r="G32" s="146"/>
      <c r="H32" s="149"/>
      <c r="I32" s="146"/>
      <c r="J32" s="146" t="s">
        <v>1052</v>
      </c>
      <c r="K32" s="146" t="s">
        <v>1025</v>
      </c>
      <c r="L32" s="146" t="s">
        <v>990</v>
      </c>
      <c r="M32" s="146"/>
      <c r="N32" s="146"/>
      <c r="O32" s="146"/>
      <c r="P32" s="150">
        <v>3.9</v>
      </c>
      <c r="Q32" s="151">
        <f>+O32*P32</f>
        <v>0</v>
      </c>
      <c r="R32" s="152"/>
      <c r="T32" s="161"/>
      <c r="U32" s="162"/>
      <c r="V32" s="163"/>
      <c r="X32" s="164"/>
      <c r="Y32" s="165"/>
      <c r="Z32" s="166"/>
      <c r="AA32" s="165"/>
      <c r="AB32" s="167"/>
      <c r="AC32" s="164"/>
      <c r="AD32" s="167"/>
      <c r="AE32" s="165"/>
      <c r="AF32" s="168"/>
    </row>
    <row r="33" spans="2:32" ht="35.1" customHeight="1" x14ac:dyDescent="0.25">
      <c r="B33" s="144" t="s">
        <v>961</v>
      </c>
      <c r="C33" s="145" t="s">
        <v>960</v>
      </c>
      <c r="D33" s="146"/>
      <c r="E33" s="160"/>
      <c r="F33" s="160"/>
      <c r="G33" s="146"/>
      <c r="H33" s="149"/>
      <c r="I33" s="146"/>
      <c r="J33" s="146" t="s">
        <v>1052</v>
      </c>
      <c r="K33" s="146" t="s">
        <v>1025</v>
      </c>
      <c r="L33" s="146" t="s">
        <v>990</v>
      </c>
      <c r="M33" s="146"/>
      <c r="N33" s="146"/>
      <c r="O33" s="146"/>
      <c r="P33" s="150">
        <v>3.9</v>
      </c>
      <c r="Q33" s="151">
        <f>+O33*P33</f>
        <v>0</v>
      </c>
      <c r="R33" s="152"/>
      <c r="T33" s="161"/>
      <c r="U33" s="162"/>
      <c r="V33" s="163"/>
      <c r="X33" s="164"/>
      <c r="Y33" s="165"/>
      <c r="Z33" s="166"/>
      <c r="AA33" s="165"/>
      <c r="AB33" s="167"/>
      <c r="AC33" s="164"/>
      <c r="AD33" s="167"/>
      <c r="AE33" s="165"/>
      <c r="AF33" s="168"/>
    </row>
    <row r="34" spans="2:32" ht="35.1" customHeight="1" x14ac:dyDescent="0.25">
      <c r="B34" s="144" t="s">
        <v>961</v>
      </c>
      <c r="C34" s="145" t="s">
        <v>960</v>
      </c>
      <c r="D34" s="146"/>
      <c r="E34" s="160"/>
      <c r="F34" s="160"/>
      <c r="G34" s="146"/>
      <c r="H34" s="149"/>
      <c r="I34" s="146"/>
      <c r="J34" s="146" t="s">
        <v>1052</v>
      </c>
      <c r="K34" s="146" t="s">
        <v>1025</v>
      </c>
      <c r="L34" s="146" t="s">
        <v>990</v>
      </c>
      <c r="M34" s="146"/>
      <c r="N34" s="146"/>
      <c r="O34" s="146"/>
      <c r="P34" s="150">
        <v>3.9</v>
      </c>
      <c r="Q34" s="151">
        <f>+O34*P34</f>
        <v>0</v>
      </c>
      <c r="R34" s="152"/>
      <c r="T34" s="161"/>
      <c r="U34" s="162"/>
      <c r="V34" s="163"/>
      <c r="X34" s="164"/>
      <c r="Y34" s="165"/>
      <c r="Z34" s="166"/>
      <c r="AA34" s="165"/>
      <c r="AB34" s="167"/>
      <c r="AC34" s="164"/>
      <c r="AD34" s="167"/>
      <c r="AE34" s="165"/>
      <c r="AF34" s="168"/>
    </row>
    <row r="35" spans="2:32" ht="34.5" customHeight="1" x14ac:dyDescent="0.25">
      <c r="B35" s="144" t="s">
        <v>961</v>
      </c>
      <c r="C35" s="145" t="s">
        <v>960</v>
      </c>
      <c r="D35" s="146"/>
      <c r="E35" s="160"/>
      <c r="F35" s="160"/>
      <c r="G35" s="146"/>
      <c r="H35" s="149"/>
      <c r="I35" s="146"/>
      <c r="J35" s="146" t="s">
        <v>1052</v>
      </c>
      <c r="K35" s="146" t="s">
        <v>1025</v>
      </c>
      <c r="L35" s="146" t="s">
        <v>990</v>
      </c>
      <c r="M35" s="146"/>
      <c r="N35" s="146"/>
      <c r="O35" s="146"/>
      <c r="P35" s="150">
        <v>3.9</v>
      </c>
      <c r="Q35" s="151">
        <f>+O35*P35</f>
        <v>0</v>
      </c>
      <c r="R35" s="152"/>
      <c r="T35" s="161"/>
      <c r="U35" s="162"/>
      <c r="V35" s="163"/>
      <c r="X35" s="164"/>
      <c r="Y35" s="165"/>
      <c r="Z35" s="166"/>
      <c r="AA35" s="165"/>
      <c r="AB35" s="167"/>
      <c r="AC35" s="164"/>
      <c r="AD35" s="167"/>
      <c r="AE35" s="165"/>
      <c r="AF35" s="168"/>
    </row>
    <row r="36" spans="2:32" ht="35.1" customHeight="1" x14ac:dyDescent="0.25">
      <c r="B36" s="144"/>
      <c r="C36" s="145"/>
      <c r="D36" s="146"/>
      <c r="E36" s="147" t="s">
        <v>946</v>
      </c>
      <c r="F36" s="148">
        <f>+I2-3</f>
        <v>46120</v>
      </c>
      <c r="G36" s="147"/>
      <c r="H36" s="149"/>
      <c r="I36" s="146"/>
      <c r="J36" s="146"/>
      <c r="K36" s="146"/>
      <c r="L36" s="146"/>
      <c r="M36" s="146"/>
      <c r="N36" s="146"/>
      <c r="O36" s="146"/>
      <c r="P36" s="150"/>
      <c r="Q36" s="151">
        <f t="shared" si="0"/>
        <v>0</v>
      </c>
      <c r="R36" s="152"/>
      <c r="T36" s="161"/>
      <c r="U36" s="162"/>
      <c r="V36" s="163"/>
      <c r="X36" s="164"/>
      <c r="Y36" s="165"/>
      <c r="Z36" s="166"/>
      <c r="AA36" s="165"/>
      <c r="AB36" s="167"/>
      <c r="AC36" s="164"/>
      <c r="AD36" s="167"/>
      <c r="AE36" s="165"/>
      <c r="AF36" s="168"/>
    </row>
    <row r="37" spans="2:32" ht="35.1" customHeight="1" x14ac:dyDescent="0.25">
      <c r="B37" s="144"/>
      <c r="C37" s="145"/>
      <c r="D37" s="146"/>
      <c r="E37" s="147" t="s">
        <v>947</v>
      </c>
      <c r="F37" s="148">
        <f>+I2-2</f>
        <v>46121</v>
      </c>
      <c r="G37" s="147"/>
      <c r="H37" s="149"/>
      <c r="I37" s="146"/>
      <c r="J37" s="146"/>
      <c r="K37" s="146"/>
      <c r="L37" s="146"/>
      <c r="M37" s="146"/>
      <c r="N37" s="146"/>
      <c r="O37" s="146"/>
      <c r="P37" s="150"/>
      <c r="Q37" s="151">
        <f t="shared" si="0"/>
        <v>0</v>
      </c>
      <c r="R37" s="152"/>
      <c r="T37" s="161"/>
      <c r="U37" s="162"/>
      <c r="V37" s="163"/>
      <c r="X37" s="164"/>
      <c r="Y37" s="165"/>
      <c r="Z37" s="166"/>
      <c r="AA37" s="165"/>
      <c r="AB37" s="167"/>
      <c r="AC37" s="164"/>
      <c r="AD37" s="167"/>
      <c r="AE37" s="165"/>
      <c r="AF37" s="168"/>
    </row>
    <row r="38" spans="2:32" ht="35.1" customHeight="1" x14ac:dyDescent="0.25">
      <c r="B38" s="144"/>
      <c r="C38" s="145"/>
      <c r="D38" s="146"/>
      <c r="E38" s="147" t="s">
        <v>948</v>
      </c>
      <c r="F38" s="148">
        <f>+I2-1</f>
        <v>46122</v>
      </c>
      <c r="G38" s="147"/>
      <c r="H38" s="149"/>
      <c r="I38" s="146"/>
      <c r="J38" s="146"/>
      <c r="K38" s="146"/>
      <c r="L38" s="146"/>
      <c r="M38" s="146"/>
      <c r="N38" s="146"/>
      <c r="O38" s="146"/>
      <c r="P38" s="150"/>
      <c r="Q38" s="151">
        <f t="shared" si="0"/>
        <v>0</v>
      </c>
      <c r="R38" s="152"/>
      <c r="T38" s="161"/>
      <c r="U38" s="162"/>
      <c r="V38" s="163"/>
      <c r="X38" s="164"/>
      <c r="Y38" s="165"/>
      <c r="Z38" s="166"/>
      <c r="AA38" s="165"/>
      <c r="AB38" s="167"/>
      <c r="AC38" s="164"/>
      <c r="AD38" s="167"/>
      <c r="AE38" s="165"/>
      <c r="AF38" s="168"/>
    </row>
    <row r="39" spans="2:32" ht="35.1" customHeight="1" x14ac:dyDescent="0.25">
      <c r="B39" s="144" t="s">
        <v>961</v>
      </c>
      <c r="C39" s="145" t="s">
        <v>960</v>
      </c>
      <c r="D39" s="146"/>
      <c r="E39" s="160"/>
      <c r="F39" s="160"/>
      <c r="G39" s="146"/>
      <c r="H39" s="149"/>
      <c r="I39" s="146"/>
      <c r="J39" s="146" t="s">
        <v>1071</v>
      </c>
      <c r="K39" s="146" t="s">
        <v>1070</v>
      </c>
      <c r="L39" s="146"/>
      <c r="M39" s="146"/>
      <c r="N39" s="146"/>
      <c r="O39" s="146"/>
      <c r="P39" s="150">
        <v>350</v>
      </c>
      <c r="Q39" s="151">
        <f>+O39*P39</f>
        <v>0</v>
      </c>
      <c r="R39" s="152"/>
      <c r="T39" s="161"/>
      <c r="U39" s="162"/>
      <c r="V39" s="163"/>
      <c r="X39" s="164"/>
      <c r="Y39" s="165"/>
      <c r="Z39" s="166"/>
      <c r="AA39" s="165"/>
      <c r="AB39" s="167"/>
      <c r="AC39" s="164"/>
      <c r="AD39" s="167"/>
      <c r="AE39" s="165"/>
      <c r="AF39" s="168"/>
    </row>
    <row r="40" spans="2:32" ht="35.1" customHeight="1" x14ac:dyDescent="0.25">
      <c r="B40" s="144"/>
      <c r="C40" s="145"/>
      <c r="D40" s="146"/>
      <c r="E40" s="160"/>
      <c r="F40" s="160"/>
      <c r="G40" s="146"/>
      <c r="H40" s="149"/>
      <c r="I40" s="146"/>
      <c r="J40" s="146"/>
      <c r="K40" s="146"/>
      <c r="L40" s="146"/>
      <c r="M40" s="146"/>
      <c r="N40" s="146"/>
      <c r="O40" s="146"/>
      <c r="P40" s="150"/>
      <c r="Q40" s="151">
        <f t="shared" si="0"/>
        <v>0</v>
      </c>
      <c r="R40" s="152"/>
      <c r="T40" s="161"/>
      <c r="U40" s="162"/>
      <c r="V40" s="163"/>
      <c r="X40" s="164"/>
      <c r="Y40" s="165"/>
      <c r="Z40" s="166"/>
      <c r="AA40" s="165"/>
      <c r="AB40" s="167"/>
      <c r="AC40" s="164"/>
      <c r="AD40" s="167"/>
      <c r="AE40" s="165"/>
      <c r="AF40" s="168"/>
    </row>
    <row r="41" spans="2:32" ht="35.1" customHeight="1" x14ac:dyDescent="0.25">
      <c r="B41" s="144"/>
      <c r="C41" s="145"/>
      <c r="D41" s="146"/>
      <c r="E41" s="160"/>
      <c r="F41" s="160"/>
      <c r="G41" s="146"/>
      <c r="H41" s="149"/>
      <c r="I41" s="146" t="s">
        <v>1070</v>
      </c>
      <c r="J41" s="146"/>
      <c r="K41" s="146"/>
      <c r="L41" s="146"/>
      <c r="M41" s="146"/>
      <c r="N41" s="146"/>
      <c r="O41" s="146"/>
      <c r="P41" s="150"/>
      <c r="Q41" s="151">
        <f t="shared" si="0"/>
        <v>0</v>
      </c>
      <c r="R41" s="152"/>
      <c r="T41" s="161"/>
      <c r="U41" s="162"/>
      <c r="V41" s="163"/>
      <c r="X41" s="164"/>
      <c r="Y41" s="165"/>
      <c r="Z41" s="166"/>
      <c r="AA41" s="165"/>
      <c r="AB41" s="167"/>
      <c r="AC41" s="164"/>
      <c r="AD41" s="167"/>
      <c r="AE41" s="165"/>
      <c r="AF41" s="168"/>
    </row>
    <row r="42" spans="2:32" ht="35.1" customHeight="1" x14ac:dyDescent="0.25">
      <c r="B42" s="144"/>
      <c r="C42" s="145"/>
      <c r="D42" s="146"/>
      <c r="E42" s="147" t="s">
        <v>949</v>
      </c>
      <c r="F42" s="148">
        <f>+I2</f>
        <v>46123</v>
      </c>
      <c r="G42" s="147"/>
      <c r="H42" s="149"/>
      <c r="I42" s="146"/>
      <c r="J42" s="146"/>
      <c r="K42" s="146"/>
      <c r="L42" s="146"/>
      <c r="M42" s="146"/>
      <c r="N42" s="146"/>
      <c r="O42" s="146"/>
      <c r="P42" s="150"/>
      <c r="Q42" s="151">
        <f t="shared" si="0"/>
        <v>0</v>
      </c>
      <c r="R42" s="152"/>
      <c r="T42" s="169"/>
      <c r="U42" s="170"/>
      <c r="V42" s="163"/>
      <c r="X42" s="164"/>
      <c r="Y42" s="165"/>
      <c r="Z42" s="166"/>
      <c r="AA42" s="165"/>
      <c r="AB42" s="167"/>
      <c r="AC42" s="164"/>
      <c r="AD42" s="167"/>
      <c r="AE42" s="165"/>
      <c r="AF42" s="168"/>
    </row>
    <row r="43" spans="2:32" ht="35.1" customHeight="1" thickBot="1" x14ac:dyDescent="0.3">
      <c r="B43" s="171"/>
      <c r="C43" s="172"/>
      <c r="D43" s="173"/>
      <c r="E43" s="174"/>
      <c r="F43" s="174"/>
      <c r="G43" s="173"/>
      <c r="H43" s="175"/>
      <c r="I43" s="173"/>
      <c r="J43" s="173"/>
      <c r="K43" s="173"/>
      <c r="L43" s="173"/>
      <c r="M43" s="173"/>
      <c r="N43" s="173"/>
      <c r="O43" s="173"/>
      <c r="P43" s="176"/>
      <c r="Q43" s="151">
        <f t="shared" si="0"/>
        <v>0</v>
      </c>
      <c r="R43" s="177"/>
      <c r="T43" s="178"/>
      <c r="U43" s="179"/>
      <c r="V43" s="180"/>
      <c r="X43" s="164"/>
      <c r="Y43" s="165"/>
      <c r="Z43" s="166"/>
      <c r="AA43" s="165"/>
      <c r="AB43" s="167"/>
      <c r="AC43" s="164"/>
      <c r="AD43" s="167"/>
      <c r="AE43" s="165"/>
      <c r="AF43" s="168"/>
    </row>
    <row r="44" spans="2:32" ht="35.1" customHeight="1" thickBot="1" x14ac:dyDescent="0.35">
      <c r="B44" s="181"/>
      <c r="C44" s="182"/>
      <c r="D44" s="182"/>
      <c r="E44" s="182"/>
      <c r="F44" s="183"/>
      <c r="G44" s="183"/>
      <c r="H44" s="183"/>
      <c r="I44" s="182"/>
      <c r="J44" s="182"/>
      <c r="K44" s="184"/>
      <c r="L44" s="182"/>
      <c r="M44" s="182"/>
      <c r="N44" s="185"/>
      <c r="O44" s="185"/>
      <c r="P44" s="186" t="s">
        <v>950</v>
      </c>
      <c r="Q44" s="187">
        <f>SUM(Q9:Q43)</f>
        <v>6380.4000000000005</v>
      </c>
      <c r="R44" s="188"/>
      <c r="X44" s="189"/>
      <c r="Y44" s="190"/>
      <c r="Z44" s="190"/>
      <c r="AA44" s="190"/>
      <c r="AB44" s="191">
        <f>SUM(AB9:AB43)</f>
        <v>0</v>
      </c>
      <c r="AC44" s="189"/>
      <c r="AD44" s="191">
        <f>SUM(AD9:AD43)</f>
        <v>0</v>
      </c>
      <c r="AE44" s="190"/>
      <c r="AF44" s="192">
        <f t="shared" ref="AF44" si="1">SUM(AF9:AF43)</f>
        <v>0</v>
      </c>
    </row>
    <row r="45" spans="2:32" ht="15" customHeight="1" thickBot="1" x14ac:dyDescent="0.3">
      <c r="B45" s="193" t="s">
        <v>951</v>
      </c>
      <c r="C45" s="194"/>
      <c r="D45" s="195"/>
      <c r="E45" s="195"/>
      <c r="F45" s="195"/>
      <c r="G45" s="195"/>
      <c r="H45" s="195"/>
      <c r="I45" s="124"/>
      <c r="J45" s="124"/>
      <c r="K45" s="124"/>
      <c r="L45" s="124"/>
      <c r="M45" s="124"/>
      <c r="N45" s="124"/>
      <c r="O45" s="124"/>
      <c r="P45" s="124"/>
      <c r="Q45" s="124"/>
      <c r="R45" s="196"/>
    </row>
    <row r="46" spans="2:32" ht="15" customHeight="1" thickBot="1" x14ac:dyDescent="0.3">
      <c r="B46" s="197"/>
      <c r="C46" s="195"/>
      <c r="D46" s="195"/>
      <c r="E46" s="195"/>
      <c r="F46" s="195"/>
      <c r="G46" s="195"/>
      <c r="H46" s="195"/>
      <c r="I46" s="198"/>
      <c r="J46" s="198"/>
      <c r="K46" s="198"/>
      <c r="L46" s="198"/>
      <c r="M46" s="198"/>
      <c r="N46" s="198"/>
      <c r="O46" s="198"/>
      <c r="P46" s="198"/>
      <c r="Q46" s="198"/>
      <c r="R46" s="199"/>
    </row>
    <row r="47" spans="2:32" ht="15" customHeight="1" thickBot="1" x14ac:dyDescent="0.3">
      <c r="B47" s="197"/>
      <c r="C47" s="195"/>
      <c r="D47" s="195"/>
      <c r="E47" s="195"/>
      <c r="F47" s="195"/>
      <c r="G47" s="195"/>
      <c r="H47" s="195"/>
      <c r="I47" s="198"/>
      <c r="J47" s="198"/>
      <c r="K47" s="198"/>
      <c r="L47" s="198"/>
      <c r="M47" s="198"/>
      <c r="N47" s="198"/>
      <c r="O47" s="198"/>
      <c r="P47" s="198"/>
      <c r="Q47" s="198"/>
      <c r="R47" s="199"/>
    </row>
    <row r="48" spans="2:32" ht="15" customHeight="1" thickBot="1" x14ac:dyDescent="0.3">
      <c r="B48" s="197"/>
      <c r="C48" s="195"/>
      <c r="D48" s="195"/>
      <c r="E48" s="195"/>
      <c r="F48" s="195"/>
      <c r="G48" s="195"/>
      <c r="H48" s="195"/>
      <c r="I48" s="198"/>
      <c r="J48" s="198"/>
      <c r="K48" s="198"/>
      <c r="L48" s="198"/>
      <c r="M48" s="198"/>
      <c r="N48" s="198"/>
      <c r="O48" s="198"/>
      <c r="P48" s="198"/>
      <c r="Q48" s="198"/>
      <c r="R48" s="199"/>
    </row>
    <row r="49" spans="2:18" ht="18.75" thickBot="1" x14ac:dyDescent="0.3">
      <c r="B49" s="197"/>
      <c r="C49" s="195"/>
      <c r="D49" s="195"/>
      <c r="E49" s="195"/>
      <c r="F49" s="195"/>
      <c r="G49" s="195"/>
      <c r="H49" s="195"/>
      <c r="I49" s="198"/>
      <c r="J49" s="198"/>
      <c r="K49" s="198"/>
      <c r="L49" s="198"/>
      <c r="M49" s="198"/>
      <c r="N49" s="198"/>
      <c r="O49" s="198"/>
      <c r="P49" s="198"/>
      <c r="Q49" s="198"/>
      <c r="R49" s="199"/>
    </row>
    <row r="50" spans="2:18" ht="18.75" thickBot="1" x14ac:dyDescent="0.3">
      <c r="B50" s="230"/>
      <c r="C50" s="231"/>
      <c r="D50" s="231"/>
      <c r="E50" s="231"/>
      <c r="F50" s="231"/>
      <c r="G50" s="231"/>
      <c r="H50" s="231"/>
      <c r="I50" s="198"/>
      <c r="J50" s="198"/>
      <c r="K50" s="198"/>
      <c r="L50" s="198"/>
      <c r="M50" s="198"/>
      <c r="N50" s="198"/>
      <c r="O50" s="198"/>
      <c r="P50" s="198"/>
      <c r="Q50" s="198"/>
      <c r="R50" s="200"/>
    </row>
    <row r="51" spans="2:18" ht="18.75" thickBot="1" x14ac:dyDescent="0.3">
      <c r="B51" s="230"/>
      <c r="C51" s="231"/>
      <c r="D51" s="231"/>
      <c r="E51" s="231"/>
      <c r="F51" s="231"/>
      <c r="G51" s="231"/>
      <c r="H51" s="231"/>
      <c r="I51" s="201"/>
      <c r="J51" s="201"/>
      <c r="K51" s="201"/>
      <c r="L51" s="201"/>
      <c r="M51" s="201"/>
      <c r="N51" s="201"/>
      <c r="O51" s="201"/>
      <c r="P51" s="201"/>
      <c r="Q51" s="201"/>
      <c r="R51" s="202"/>
    </row>
    <row r="52" spans="2:18" x14ac:dyDescent="0.25">
      <c r="B52" s="124"/>
      <c r="C52" s="124"/>
      <c r="D52" s="124"/>
      <c r="E52" s="124"/>
      <c r="F52" s="124"/>
      <c r="G52" s="124"/>
      <c r="H52" s="124"/>
      <c r="I52" s="124"/>
      <c r="J52" s="124"/>
      <c r="K52" s="124"/>
      <c r="L52" s="124"/>
      <c r="M52" s="124"/>
      <c r="N52" s="124"/>
      <c r="O52" s="124"/>
      <c r="P52" s="124"/>
      <c r="Q52" s="124"/>
      <c r="R52" s="124"/>
    </row>
    <row r="520" spans="2:16" x14ac:dyDescent="0.25">
      <c r="H520" s="203" t="s">
        <v>952</v>
      </c>
      <c r="I520" s="203" t="s">
        <v>953</v>
      </c>
      <c r="J520" s="203" t="s">
        <v>936</v>
      </c>
      <c r="K520" s="203" t="s">
        <v>954</v>
      </c>
      <c r="L520" s="203" t="s">
        <v>955</v>
      </c>
      <c r="M520" s="203" t="s">
        <v>955</v>
      </c>
      <c r="N520" s="203" t="s">
        <v>956</v>
      </c>
      <c r="P520" s="203" t="s">
        <v>957</v>
      </c>
    </row>
    <row r="521" spans="2:16" ht="18" x14ac:dyDescent="0.25">
      <c r="B521" s="198" t="s">
        <v>958</v>
      </c>
      <c r="D521" s="124" t="s">
        <v>959</v>
      </c>
      <c r="E521" s="124" t="s">
        <v>960</v>
      </c>
      <c r="F521" s="124" t="s">
        <v>961</v>
      </c>
      <c r="G521" s="124"/>
      <c r="H521" s="203" t="s">
        <v>962</v>
      </c>
      <c r="I521" s="203" t="s">
        <v>963</v>
      </c>
      <c r="J521" s="204">
        <v>0.92</v>
      </c>
      <c r="K521" s="203" t="s">
        <v>964</v>
      </c>
      <c r="L521" s="203" t="s">
        <v>965</v>
      </c>
      <c r="M521" s="203" t="s">
        <v>965</v>
      </c>
      <c r="N521" s="203" t="s">
        <v>966</v>
      </c>
      <c r="P521" s="203" t="s">
        <v>967</v>
      </c>
    </row>
    <row r="522" spans="2:16" ht="18" x14ac:dyDescent="0.25">
      <c r="B522" s="198" t="s">
        <v>968</v>
      </c>
      <c r="D522" s="124" t="s">
        <v>969</v>
      </c>
      <c r="E522" s="124" t="s">
        <v>970</v>
      </c>
      <c r="F522" s="124" t="s">
        <v>971</v>
      </c>
      <c r="G522" s="124"/>
      <c r="H522" s="203" t="s">
        <v>959</v>
      </c>
      <c r="I522" s="203" t="s">
        <v>972</v>
      </c>
      <c r="J522" s="204">
        <v>0.95</v>
      </c>
      <c r="K522" s="203" t="s">
        <v>973</v>
      </c>
      <c r="L522" s="203" t="s">
        <v>974</v>
      </c>
      <c r="M522" s="203" t="s">
        <v>974</v>
      </c>
      <c r="N522" s="203" t="s">
        <v>975</v>
      </c>
      <c r="P522" s="203" t="s">
        <v>976</v>
      </c>
    </row>
    <row r="523" spans="2:16" ht="18" x14ac:dyDescent="0.25">
      <c r="B523" s="198" t="s">
        <v>977</v>
      </c>
      <c r="D523" s="124" t="s">
        <v>978</v>
      </c>
      <c r="E523" s="124" t="s">
        <v>979</v>
      </c>
      <c r="F523" s="124"/>
      <c r="G523" s="124"/>
      <c r="H523" s="203" t="s">
        <v>969</v>
      </c>
      <c r="I523" s="203" t="s">
        <v>980</v>
      </c>
      <c r="J523" s="204">
        <v>0.98</v>
      </c>
      <c r="K523" s="203" t="s">
        <v>981</v>
      </c>
      <c r="L523" s="203"/>
      <c r="M523" s="203"/>
      <c r="N523" s="203" t="s">
        <v>982</v>
      </c>
    </row>
    <row r="524" spans="2:16" ht="18" x14ac:dyDescent="0.25">
      <c r="B524" s="198" t="s">
        <v>983</v>
      </c>
      <c r="D524" s="124" t="s">
        <v>984</v>
      </c>
      <c r="E524" s="124"/>
      <c r="H524" s="203" t="s">
        <v>985</v>
      </c>
      <c r="I524" s="203" t="s">
        <v>986</v>
      </c>
      <c r="J524" s="204"/>
      <c r="K524" s="203" t="s">
        <v>987</v>
      </c>
      <c r="N524" s="203" t="s">
        <v>988</v>
      </c>
    </row>
    <row r="525" spans="2:16" ht="18" x14ac:dyDescent="0.25">
      <c r="B525" s="198" t="s">
        <v>989</v>
      </c>
      <c r="D525" s="124" t="s">
        <v>990</v>
      </c>
      <c r="H525" s="203" t="s">
        <v>991</v>
      </c>
      <c r="I525" s="203" t="s">
        <v>992</v>
      </c>
      <c r="K525" s="203" t="s">
        <v>993</v>
      </c>
      <c r="N525" s="203"/>
    </row>
    <row r="526" spans="2:16" ht="18" x14ac:dyDescent="0.25">
      <c r="B526" s="198" t="s">
        <v>994</v>
      </c>
      <c r="D526" s="124" t="s">
        <v>995</v>
      </c>
      <c r="H526" s="203" t="s">
        <v>978</v>
      </c>
      <c r="I526" s="203" t="s">
        <v>996</v>
      </c>
      <c r="K526" s="203"/>
    </row>
    <row r="527" spans="2:16" ht="18" x14ac:dyDescent="0.25">
      <c r="B527" s="198" t="s">
        <v>997</v>
      </c>
      <c r="D527" s="124" t="s">
        <v>998</v>
      </c>
      <c r="H527" s="203" t="s">
        <v>999</v>
      </c>
      <c r="I527" s="203"/>
    </row>
    <row r="528" spans="2:16" ht="18" x14ac:dyDescent="0.25">
      <c r="B528" s="198" t="s">
        <v>1000</v>
      </c>
      <c r="D528" s="124" t="s">
        <v>1001</v>
      </c>
      <c r="H528" s="203" t="s">
        <v>984</v>
      </c>
    </row>
    <row r="529" spans="2:8" ht="18" x14ac:dyDescent="0.25">
      <c r="B529" s="198" t="s">
        <v>1002</v>
      </c>
      <c r="D529" s="124" t="s">
        <v>1003</v>
      </c>
      <c r="H529" s="203" t="s">
        <v>1004</v>
      </c>
    </row>
    <row r="530" spans="2:8" ht="18" x14ac:dyDescent="0.25">
      <c r="B530" s="198" t="s">
        <v>1005</v>
      </c>
      <c r="D530" s="124" t="s">
        <v>1006</v>
      </c>
      <c r="H530" s="203" t="s">
        <v>990</v>
      </c>
    </row>
    <row r="531" spans="2:8" ht="18" x14ac:dyDescent="0.25">
      <c r="B531" s="198" t="s">
        <v>1007</v>
      </c>
      <c r="D531" s="124" t="s">
        <v>1008</v>
      </c>
      <c r="H531" s="203" t="s">
        <v>1009</v>
      </c>
    </row>
    <row r="532" spans="2:8" ht="18" x14ac:dyDescent="0.25">
      <c r="B532" s="198" t="s">
        <v>1010</v>
      </c>
      <c r="D532" s="124" t="s">
        <v>1011</v>
      </c>
      <c r="H532" s="203" t="s">
        <v>995</v>
      </c>
    </row>
    <row r="533" spans="2:8" ht="18" x14ac:dyDescent="0.25">
      <c r="B533" s="198" t="s">
        <v>1012</v>
      </c>
      <c r="D533" s="124" t="s">
        <v>1013</v>
      </c>
      <c r="H533" s="203" t="s">
        <v>1014</v>
      </c>
    </row>
    <row r="534" spans="2:8" ht="18" x14ac:dyDescent="0.25">
      <c r="B534" s="198" t="s">
        <v>1015</v>
      </c>
      <c r="D534" s="124" t="s">
        <v>1016</v>
      </c>
      <c r="H534" s="203" t="s">
        <v>1017</v>
      </c>
    </row>
    <row r="535" spans="2:8" ht="18" x14ac:dyDescent="0.25">
      <c r="B535" s="198" t="s">
        <v>1018</v>
      </c>
      <c r="D535" s="124"/>
      <c r="H535" s="203" t="s">
        <v>998</v>
      </c>
    </row>
    <row r="536" spans="2:8" ht="18" x14ac:dyDescent="0.25">
      <c r="B536" s="198" t="s">
        <v>1019</v>
      </c>
      <c r="D536" s="124"/>
      <c r="H536" s="203" t="s">
        <v>1020</v>
      </c>
    </row>
    <row r="537" spans="2:8" ht="18" x14ac:dyDescent="0.25">
      <c r="B537" s="198" t="s">
        <v>1021</v>
      </c>
      <c r="D537" s="124"/>
      <c r="H537" s="203" t="s">
        <v>1001</v>
      </c>
    </row>
    <row r="538" spans="2:8" ht="18" x14ac:dyDescent="0.25">
      <c r="B538" s="198" t="s">
        <v>1022</v>
      </c>
      <c r="D538" s="124"/>
      <c r="H538" s="203" t="s">
        <v>1006</v>
      </c>
    </row>
    <row r="539" spans="2:8" ht="18" x14ac:dyDescent="0.25">
      <c r="B539" s="198" t="s">
        <v>1023</v>
      </c>
      <c r="H539" s="203"/>
    </row>
    <row r="540" spans="2:8" ht="18" x14ac:dyDescent="0.25">
      <c r="B540" s="198" t="s">
        <v>1024</v>
      </c>
    </row>
    <row r="541" spans="2:8" ht="18" x14ac:dyDescent="0.25">
      <c r="B541" s="198" t="s">
        <v>1025</v>
      </c>
    </row>
    <row r="542" spans="2:8" ht="18" x14ac:dyDescent="0.25">
      <c r="B542" s="198" t="s">
        <v>1026</v>
      </c>
    </row>
    <row r="543" spans="2:8" ht="18" x14ac:dyDescent="0.25">
      <c r="B543" s="198" t="s">
        <v>1027</v>
      </c>
    </row>
    <row r="544" spans="2:8" ht="18" x14ac:dyDescent="0.25">
      <c r="B544" s="198" t="s">
        <v>1028</v>
      </c>
    </row>
    <row r="545" spans="2:2" ht="18" x14ac:dyDescent="0.25">
      <c r="B545" s="198" t="s">
        <v>1029</v>
      </c>
    </row>
    <row r="546" spans="2:2" ht="18" x14ac:dyDescent="0.25">
      <c r="B546" s="198" t="s">
        <v>1030</v>
      </c>
    </row>
    <row r="547" spans="2:2" ht="18" x14ac:dyDescent="0.25">
      <c r="B547" s="198" t="s">
        <v>1031</v>
      </c>
    </row>
    <row r="548" spans="2:2" ht="18" x14ac:dyDescent="0.25">
      <c r="B548" s="198" t="s">
        <v>1032</v>
      </c>
    </row>
    <row r="549" spans="2:2" ht="18" x14ac:dyDescent="0.25">
      <c r="B549" s="198" t="s">
        <v>1033</v>
      </c>
    </row>
    <row r="550" spans="2:2" ht="18" x14ac:dyDescent="0.25">
      <c r="B550" s="198" t="s">
        <v>1034</v>
      </c>
    </row>
    <row r="551" spans="2:2" ht="18" x14ac:dyDescent="0.25">
      <c r="B551" s="198" t="s">
        <v>1035</v>
      </c>
    </row>
    <row r="552" spans="2:2" ht="18" x14ac:dyDescent="0.25">
      <c r="B552" s="198" t="s">
        <v>1036</v>
      </c>
    </row>
    <row r="553" spans="2:2" ht="18" x14ac:dyDescent="0.25">
      <c r="B553" s="198" t="s">
        <v>1037</v>
      </c>
    </row>
    <row r="554" spans="2:2" ht="18" x14ac:dyDescent="0.25">
      <c r="B554" s="198" t="s">
        <v>1038</v>
      </c>
    </row>
    <row r="555" spans="2:2" ht="18" x14ac:dyDescent="0.25">
      <c r="B555" s="198" t="s">
        <v>1039</v>
      </c>
    </row>
    <row r="556" spans="2:2" ht="18" x14ac:dyDescent="0.25">
      <c r="B556" s="198" t="s">
        <v>1040</v>
      </c>
    </row>
    <row r="557" spans="2:2" ht="18" x14ac:dyDescent="0.25">
      <c r="B557" s="198" t="s">
        <v>1041</v>
      </c>
    </row>
    <row r="564" spans="2:2" ht="18" x14ac:dyDescent="0.25">
      <c r="B564" s="198"/>
    </row>
    <row r="565" spans="2:2" ht="18" x14ac:dyDescent="0.25">
      <c r="B565" s="198"/>
    </row>
  </sheetData>
  <mergeCells count="14">
    <mergeCell ref="B51:H51"/>
    <mergeCell ref="X6:AF6"/>
    <mergeCell ref="T7:V7"/>
    <mergeCell ref="X7:AB7"/>
    <mergeCell ref="AC7:AD7"/>
    <mergeCell ref="AE7:AF7"/>
    <mergeCell ref="B50:H50"/>
    <mergeCell ref="B1:R1"/>
    <mergeCell ref="I2:K2"/>
    <mergeCell ref="B4:D4"/>
    <mergeCell ref="I4:K4"/>
    <mergeCell ref="P4:Q4"/>
    <mergeCell ref="I6:K6"/>
    <mergeCell ref="P6:Q6"/>
  </mergeCells>
  <dataValidations count="11">
    <dataValidation type="list" allowBlank="1" showInputMessage="1" showErrorMessage="1" sqref="K9:K44" xr:uid="{C887A816-BC30-4D6C-B540-7C3577E3E656}">
      <formula1>$B$520:$B$557</formula1>
    </dataValidation>
    <dataValidation type="list" allowBlank="1" showInputMessage="1" showErrorMessage="1" sqref="T9:U43" xr:uid="{AAE6E238-FB6E-4B9E-98DD-724CA8DCB277}">
      <formula1>$P$521:$P$522</formula1>
    </dataValidation>
    <dataValidation type="list" allowBlank="1" showInputMessage="1" showErrorMessage="1" sqref="AE9:AE43" xr:uid="{7DB5F313-BEDE-4ED6-A63C-FAC113A2FA63}">
      <formula1>$N$521:$N$525</formula1>
    </dataValidation>
    <dataValidation type="list" allowBlank="1" showInputMessage="1" showErrorMessage="1" sqref="AC9:AC43" xr:uid="{9C304986-B295-4AA5-A7DF-B5CB5C6D3005}">
      <formula1>$L$521:$L$523</formula1>
    </dataValidation>
    <dataValidation type="list" allowBlank="1" showInputMessage="1" showErrorMessage="1" sqref="AA9:AA43" xr:uid="{A57BDF13-3C4E-407C-BDB1-06FF825C4EB3}">
      <formula1>$K$521:$K$526</formula1>
    </dataValidation>
    <dataValidation type="list" allowBlank="1" showInputMessage="1" showErrorMessage="1" sqref="Z9:Z43" xr:uid="{4354E93C-2458-40EB-A932-4FC4D9CD8805}">
      <formula1>$J$521:$J$524</formula1>
    </dataValidation>
    <dataValidation type="list" allowBlank="1" showInputMessage="1" showErrorMessage="1" sqref="Y9:Y43" xr:uid="{32E4F8D3-F601-40EC-90A0-4A94F42FCDC1}">
      <formula1>$I$521:$I$527</formula1>
    </dataValidation>
    <dataValidation type="list" allowBlank="1" showInputMessage="1" showErrorMessage="1" sqref="X9:X43" xr:uid="{6363DDB8-49AB-4858-92B9-3B451FB3BF81}">
      <formula1>$H$521:$H$539</formula1>
    </dataValidation>
    <dataValidation type="list" allowBlank="1" showInputMessage="1" showErrorMessage="1" sqref="L9:M43" xr:uid="{F4471BB3-5A5E-4624-BE27-A2CC099955F0}">
      <formula1>$D$520:$D$534</formula1>
    </dataValidation>
    <dataValidation type="list" allowBlank="1" showInputMessage="1" showErrorMessage="1" sqref="C9:C43" xr:uid="{1798F70D-622C-44AF-BA75-F799BE4163B0}">
      <formula1>$E$520:$E$524</formula1>
    </dataValidation>
    <dataValidation type="list" allowBlank="1" showInputMessage="1" showErrorMessage="1" sqref="B9:B43" xr:uid="{BD361BA2-0CF8-4CE1-82DB-1B4034FAEC31}">
      <formula1>$F$520:$F$523</formula1>
    </dataValidation>
  </dataValidations>
  <printOptions horizontalCentered="1" verticalCentered="1"/>
  <pageMargins left="0" right="0" top="0.25" bottom="0.25" header="0" footer="0"/>
  <pageSetup scale="40" fitToHeight="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96205-DEEF-4474-B2D9-62EAA9C62843}">
  <dimension ref="A1:AK130"/>
  <sheetViews>
    <sheetView tabSelected="1" zoomScale="90" zoomScaleNormal="90" workbookViewId="0">
      <pane xSplit="11" ySplit="20" topLeftCell="L21" activePane="bottomRight" state="frozen"/>
      <selection pane="topRight" activeCell="L1" sqref="L1"/>
      <selection pane="bottomLeft" activeCell="A21" sqref="A21"/>
      <selection pane="bottomRight" activeCell="O21" sqref="O21:O22"/>
    </sheetView>
  </sheetViews>
  <sheetFormatPr defaultColWidth="9.140625" defaultRowHeight="15" x14ac:dyDescent="0.25"/>
  <cols>
    <col min="1" max="1" width="9.140625" style="24"/>
    <col min="2" max="3" width="12.28515625" style="24" customWidth="1"/>
    <col min="4" max="4" width="12.7109375" style="24" customWidth="1"/>
    <col min="5" max="6" width="13.5703125" style="24" customWidth="1"/>
    <col min="7" max="7" width="9" style="24" customWidth="1"/>
    <col min="8" max="8" width="18.28515625" style="24" customWidth="1"/>
    <col min="9" max="9" width="10.42578125" style="24" customWidth="1"/>
    <col min="10" max="11" width="8.5703125" style="24" customWidth="1"/>
    <col min="12" max="12" width="11.140625" style="29" customWidth="1"/>
    <col min="13" max="13" width="12.140625" style="24" customWidth="1"/>
    <col min="14" max="24" width="9.140625" style="24"/>
    <col min="25" max="25" width="36.140625" style="24" customWidth="1"/>
    <col min="26" max="26" width="9.140625" style="70"/>
    <col min="27" max="27" width="9.140625" style="24"/>
    <col min="28" max="28" width="11.140625" style="24" customWidth="1"/>
    <col min="29" max="34" width="9.140625" style="24"/>
    <col min="35" max="36" width="11.5703125" style="29" customWidth="1"/>
    <col min="37" max="37" width="35.28515625" style="24" customWidth="1"/>
    <col min="38" max="16384" width="9.140625" style="24"/>
  </cols>
  <sheetData>
    <row r="1" spans="1:37" x14ac:dyDescent="0.25">
      <c r="A1" s="241" t="s">
        <v>0</v>
      </c>
      <c r="B1" s="242"/>
      <c r="C1" s="242"/>
      <c r="D1" s="242"/>
      <c r="E1" s="242"/>
      <c r="F1" s="242"/>
      <c r="G1" s="242"/>
      <c r="H1" s="242"/>
      <c r="I1" s="242"/>
      <c r="J1" s="242"/>
      <c r="K1" s="242"/>
      <c r="L1" s="242"/>
      <c r="M1" s="242"/>
      <c r="N1" s="242"/>
      <c r="O1" s="242"/>
      <c r="P1" s="242"/>
      <c r="Q1" s="242"/>
      <c r="R1" s="242"/>
      <c r="S1" s="242"/>
      <c r="T1" s="242"/>
      <c r="U1" s="242"/>
      <c r="V1" s="242"/>
      <c r="W1" s="242"/>
      <c r="X1" s="242"/>
      <c r="Y1" s="242"/>
      <c r="Z1" s="242"/>
      <c r="AA1" s="242"/>
      <c r="AB1" s="242"/>
      <c r="AC1" s="242"/>
      <c r="AD1" s="242"/>
      <c r="AE1" s="242"/>
      <c r="AF1" s="242"/>
      <c r="AG1" s="242"/>
      <c r="AH1" s="242"/>
      <c r="AI1" s="242"/>
      <c r="AJ1" s="242"/>
      <c r="AK1" s="242"/>
    </row>
    <row r="2" spans="1:37" x14ac:dyDescent="0.25">
      <c r="A2" s="243" t="s">
        <v>1</v>
      </c>
      <c r="B2" s="244"/>
      <c r="C2" s="244"/>
      <c r="D2" s="244"/>
      <c r="E2" s="244"/>
      <c r="F2" s="244"/>
      <c r="G2" s="244"/>
      <c r="H2" s="244"/>
      <c r="I2" s="244"/>
      <c r="J2" s="244"/>
      <c r="K2" s="245"/>
      <c r="L2" s="246" t="s">
        <v>2</v>
      </c>
      <c r="M2" s="247"/>
      <c r="N2" s="247"/>
      <c r="O2" s="247"/>
      <c r="P2" s="247"/>
      <c r="Q2" s="247"/>
      <c r="R2" s="247"/>
      <c r="S2" s="247"/>
      <c r="T2" s="247"/>
      <c r="U2" s="247"/>
      <c r="V2" s="247"/>
      <c r="W2" s="247"/>
      <c r="X2" s="247"/>
      <c r="Y2" s="247"/>
      <c r="Z2" s="248" t="s">
        <v>3</v>
      </c>
      <c r="AA2" s="249"/>
      <c r="AB2" s="249"/>
      <c r="AC2" s="249"/>
      <c r="AD2" s="249"/>
      <c r="AE2" s="249" t="s">
        <v>4</v>
      </c>
      <c r="AF2" s="249"/>
      <c r="AG2" s="249"/>
      <c r="AH2" s="249"/>
      <c r="AI2" s="248" t="s">
        <v>5</v>
      </c>
      <c r="AJ2" s="249"/>
      <c r="AK2" s="58"/>
    </row>
    <row r="3" spans="1:37" ht="45.75" thickBot="1" x14ac:dyDescent="0.3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7" t="s">
        <v>12</v>
      </c>
      <c r="H3" s="1" t="s">
        <v>13</v>
      </c>
      <c r="I3" s="1" t="s">
        <v>14</v>
      </c>
      <c r="J3" s="7" t="s">
        <v>15</v>
      </c>
      <c r="K3" s="2" t="s">
        <v>16</v>
      </c>
      <c r="L3" s="108" t="s">
        <v>17</v>
      </c>
      <c r="M3" s="109" t="s">
        <v>18</v>
      </c>
      <c r="N3" s="110" t="s">
        <v>893</v>
      </c>
      <c r="O3" s="109" t="s">
        <v>19</v>
      </c>
      <c r="P3" s="109" t="s">
        <v>894</v>
      </c>
      <c r="Q3" s="109" t="s">
        <v>895</v>
      </c>
      <c r="R3" s="109" t="s">
        <v>896</v>
      </c>
      <c r="S3" s="109" t="s">
        <v>897</v>
      </c>
      <c r="T3" s="109" t="s">
        <v>898</v>
      </c>
      <c r="U3" s="109" t="s">
        <v>899</v>
      </c>
      <c r="V3" s="111" t="s">
        <v>20</v>
      </c>
      <c r="W3" s="109" t="s">
        <v>900</v>
      </c>
      <c r="X3" s="109" t="s">
        <v>901</v>
      </c>
      <c r="Y3" s="222" t="s">
        <v>902</v>
      </c>
      <c r="Z3" s="60" t="s">
        <v>21</v>
      </c>
      <c r="AA3" s="1" t="s">
        <v>22</v>
      </c>
      <c r="AB3" s="1" t="s">
        <v>23</v>
      </c>
      <c r="AC3" s="4" t="s">
        <v>24</v>
      </c>
      <c r="AD3" s="1" t="s">
        <v>25</v>
      </c>
      <c r="AE3" s="8" t="s">
        <v>26</v>
      </c>
      <c r="AF3" s="1" t="s">
        <v>27</v>
      </c>
      <c r="AG3" s="1" t="s">
        <v>28</v>
      </c>
      <c r="AH3" s="4" t="s">
        <v>29</v>
      </c>
      <c r="AI3" s="8" t="s">
        <v>30</v>
      </c>
      <c r="AJ3" s="9" t="s">
        <v>31</v>
      </c>
      <c r="AK3" s="10" t="s">
        <v>32</v>
      </c>
    </row>
    <row r="4" spans="1:37" ht="30.75" thickBot="1" x14ac:dyDescent="0.3">
      <c r="A4" s="32" t="s">
        <v>157</v>
      </c>
      <c r="B4" s="32" t="s">
        <v>508</v>
      </c>
      <c r="C4" s="32" t="s">
        <v>508</v>
      </c>
      <c r="D4" s="32" t="s">
        <v>218</v>
      </c>
      <c r="E4" s="32" t="s">
        <v>368</v>
      </c>
      <c r="F4" s="32" t="s">
        <v>369</v>
      </c>
      <c r="G4" s="32">
        <v>8</v>
      </c>
      <c r="H4" s="32" t="s">
        <v>493</v>
      </c>
      <c r="I4" s="32" t="s">
        <v>481</v>
      </c>
      <c r="J4" s="34">
        <v>78</v>
      </c>
      <c r="K4" s="61">
        <f>IF(N4&gt;0,N4,J4)</f>
        <v>78</v>
      </c>
      <c r="L4" s="41">
        <v>46115</v>
      </c>
      <c r="M4" s="32" t="s">
        <v>1054</v>
      </c>
      <c r="N4" s="32">
        <v>78</v>
      </c>
      <c r="O4" s="32">
        <v>77.3</v>
      </c>
      <c r="P4" s="32">
        <v>2</v>
      </c>
      <c r="Q4" s="32" t="s">
        <v>1066</v>
      </c>
      <c r="R4" s="32" t="s">
        <v>990</v>
      </c>
      <c r="S4" s="32" t="s">
        <v>1062</v>
      </c>
      <c r="T4" s="32" t="s">
        <v>990</v>
      </c>
      <c r="U4" s="32" t="s">
        <v>218</v>
      </c>
      <c r="V4" s="32" t="s">
        <v>1047</v>
      </c>
      <c r="W4" s="32" t="s">
        <v>1064</v>
      </c>
      <c r="X4" s="34" t="s">
        <v>1052</v>
      </c>
      <c r="Y4" s="224"/>
      <c r="Z4" s="90"/>
      <c r="AA4" s="62">
        <f t="shared" ref="AA4:AA23" si="0">IF(Z4&gt;0,K4,0)</f>
        <v>0</v>
      </c>
      <c r="AB4" s="32"/>
      <c r="AC4" s="32">
        <v>1</v>
      </c>
      <c r="AD4" s="32"/>
      <c r="AE4" s="36"/>
      <c r="AF4" s="32"/>
      <c r="AG4" s="32"/>
      <c r="AH4" s="34"/>
      <c r="AI4" s="41"/>
      <c r="AJ4" s="33"/>
      <c r="AK4" s="36"/>
    </row>
    <row r="5" spans="1:37" ht="30.75" thickBot="1" x14ac:dyDescent="0.3">
      <c r="A5" s="32" t="s">
        <v>158</v>
      </c>
      <c r="B5" s="32" t="s">
        <v>218</v>
      </c>
      <c r="C5" s="32" t="s">
        <v>218</v>
      </c>
      <c r="D5" s="32" t="s">
        <v>223</v>
      </c>
      <c r="E5" s="32" t="s">
        <v>369</v>
      </c>
      <c r="F5" s="32" t="s">
        <v>370</v>
      </c>
      <c r="G5" s="32">
        <v>8</v>
      </c>
      <c r="H5" s="32" t="s">
        <v>494</v>
      </c>
      <c r="I5" s="32" t="s">
        <v>481</v>
      </c>
      <c r="J5" s="34">
        <v>158</v>
      </c>
      <c r="K5" s="61">
        <f t="shared" ref="K5:K23" si="1">IF(N5&gt;0,N5,J5)</f>
        <v>160</v>
      </c>
      <c r="L5" s="41">
        <v>46114</v>
      </c>
      <c r="M5" s="32" t="s">
        <v>1046</v>
      </c>
      <c r="N5" s="32">
        <v>160</v>
      </c>
      <c r="O5" s="32">
        <v>159.80000000000001</v>
      </c>
      <c r="P5" s="32">
        <v>0</v>
      </c>
      <c r="Q5" s="32" t="s">
        <v>1062</v>
      </c>
      <c r="R5" s="32" t="s">
        <v>990</v>
      </c>
      <c r="S5" s="32" t="s">
        <v>1061</v>
      </c>
      <c r="T5" s="32" t="s">
        <v>990</v>
      </c>
      <c r="U5" s="32" t="s">
        <v>223</v>
      </c>
      <c r="V5" s="32" t="s">
        <v>1047</v>
      </c>
      <c r="W5" s="32" t="s">
        <v>1048</v>
      </c>
      <c r="X5" s="34" t="s">
        <v>1052</v>
      </c>
      <c r="Y5" s="224"/>
      <c r="Z5" s="90"/>
      <c r="AA5" s="62">
        <f t="shared" si="0"/>
        <v>0</v>
      </c>
      <c r="AB5" s="32"/>
      <c r="AC5" s="32">
        <v>0</v>
      </c>
      <c r="AD5" s="32"/>
      <c r="AE5" s="36"/>
      <c r="AF5" s="32"/>
      <c r="AG5" s="32"/>
      <c r="AH5" s="34"/>
      <c r="AI5" s="41"/>
      <c r="AJ5" s="33"/>
      <c r="AK5" s="36"/>
    </row>
    <row r="6" spans="1:37" ht="30.75" thickBot="1" x14ac:dyDescent="0.3">
      <c r="A6" s="32" t="s">
        <v>159</v>
      </c>
      <c r="B6" s="32" t="s">
        <v>218</v>
      </c>
      <c r="C6" s="32" t="s">
        <v>218</v>
      </c>
      <c r="D6" s="32" t="s">
        <v>223</v>
      </c>
      <c r="E6" s="32" t="s">
        <v>370</v>
      </c>
      <c r="F6" s="32" t="s">
        <v>371</v>
      </c>
      <c r="G6" s="32">
        <v>8</v>
      </c>
      <c r="H6" s="32" t="s">
        <v>494</v>
      </c>
      <c r="I6" s="32" t="s">
        <v>481</v>
      </c>
      <c r="J6" s="34">
        <v>38</v>
      </c>
      <c r="K6" s="61">
        <f t="shared" si="1"/>
        <v>38</v>
      </c>
      <c r="L6" s="41">
        <v>46114</v>
      </c>
      <c r="M6" s="32" t="s">
        <v>1046</v>
      </c>
      <c r="N6" s="32">
        <v>38</v>
      </c>
      <c r="O6" s="32">
        <v>37.1</v>
      </c>
      <c r="P6" s="32">
        <v>0</v>
      </c>
      <c r="Q6" s="32" t="s">
        <v>1061</v>
      </c>
      <c r="R6" s="32" t="s">
        <v>990</v>
      </c>
      <c r="S6" s="32" t="s">
        <v>1063</v>
      </c>
      <c r="T6" s="32" t="s">
        <v>990</v>
      </c>
      <c r="U6" s="32" t="s">
        <v>223</v>
      </c>
      <c r="V6" s="32" t="s">
        <v>1047</v>
      </c>
      <c r="W6" s="32" t="s">
        <v>1048</v>
      </c>
      <c r="X6" s="34" t="s">
        <v>1052</v>
      </c>
      <c r="Y6" s="224"/>
      <c r="Z6" s="90"/>
      <c r="AA6" s="62">
        <f t="shared" si="0"/>
        <v>0</v>
      </c>
      <c r="AB6" s="32"/>
      <c r="AC6" s="32">
        <v>0</v>
      </c>
      <c r="AD6" s="32"/>
      <c r="AE6" s="36"/>
      <c r="AF6" s="32"/>
      <c r="AG6" s="32"/>
      <c r="AH6" s="34"/>
      <c r="AI6" s="41"/>
      <c r="AJ6" s="33"/>
      <c r="AK6" s="36"/>
    </row>
    <row r="7" spans="1:37" ht="30.75" thickBot="1" x14ac:dyDescent="0.3">
      <c r="A7" s="32" t="s">
        <v>160</v>
      </c>
      <c r="B7" s="32" t="s">
        <v>317</v>
      </c>
      <c r="C7" s="32" t="s">
        <v>317</v>
      </c>
      <c r="D7" s="32" t="s">
        <v>218</v>
      </c>
      <c r="E7" s="32" t="s">
        <v>371</v>
      </c>
      <c r="F7" s="32" t="s">
        <v>372</v>
      </c>
      <c r="G7" s="32">
        <v>8</v>
      </c>
      <c r="H7" s="32" t="s">
        <v>494</v>
      </c>
      <c r="I7" s="32" t="s">
        <v>481</v>
      </c>
      <c r="J7" s="34">
        <v>65</v>
      </c>
      <c r="K7" s="61">
        <f t="shared" si="1"/>
        <v>67</v>
      </c>
      <c r="L7" s="41">
        <v>46115</v>
      </c>
      <c r="M7" s="32" t="s">
        <v>1054</v>
      </c>
      <c r="N7" s="32">
        <v>67</v>
      </c>
      <c r="O7" s="32">
        <v>66.599999999999994</v>
      </c>
      <c r="P7" s="32">
        <v>0</v>
      </c>
      <c r="Q7" s="32" t="s">
        <v>1063</v>
      </c>
      <c r="R7" s="32" t="s">
        <v>990</v>
      </c>
      <c r="S7" s="32" t="s">
        <v>1065</v>
      </c>
      <c r="T7" s="32" t="s">
        <v>990</v>
      </c>
      <c r="U7" s="32" t="s">
        <v>218</v>
      </c>
      <c r="V7" s="32" t="s">
        <v>1047</v>
      </c>
      <c r="W7" s="32" t="s">
        <v>1064</v>
      </c>
      <c r="X7" s="34" t="s">
        <v>1052</v>
      </c>
      <c r="Y7" s="224"/>
      <c r="Z7" s="90"/>
      <c r="AA7" s="62">
        <f t="shared" si="0"/>
        <v>0</v>
      </c>
      <c r="AB7" s="32"/>
      <c r="AC7" s="32">
        <v>0</v>
      </c>
      <c r="AD7" s="32"/>
      <c r="AE7" s="36"/>
      <c r="AF7" s="32"/>
      <c r="AG7" s="32"/>
      <c r="AH7" s="34"/>
      <c r="AI7" s="41"/>
      <c r="AJ7" s="33"/>
      <c r="AK7" s="36"/>
    </row>
    <row r="8" spans="1:37" x14ac:dyDescent="0.25">
      <c r="A8" s="32" t="s">
        <v>161</v>
      </c>
      <c r="B8" s="32" t="s">
        <v>508</v>
      </c>
      <c r="C8" s="32" t="s">
        <v>508</v>
      </c>
      <c r="D8" s="32" t="s">
        <v>218</v>
      </c>
      <c r="E8" s="32" t="s">
        <v>372</v>
      </c>
      <c r="F8" s="32" t="s">
        <v>373</v>
      </c>
      <c r="G8" s="32">
        <v>8</v>
      </c>
      <c r="H8" s="32" t="s">
        <v>493</v>
      </c>
      <c r="I8" s="32" t="s">
        <v>481</v>
      </c>
      <c r="J8" s="34">
        <v>127</v>
      </c>
      <c r="K8" s="61">
        <f t="shared" si="1"/>
        <v>127</v>
      </c>
      <c r="L8" s="41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214"/>
      <c r="Z8" s="90"/>
      <c r="AA8" s="62">
        <f t="shared" si="0"/>
        <v>0</v>
      </c>
      <c r="AB8" s="32"/>
      <c r="AC8" s="32">
        <v>1</v>
      </c>
      <c r="AD8" s="32"/>
      <c r="AE8" s="36"/>
      <c r="AF8" s="32"/>
      <c r="AG8" s="32"/>
      <c r="AH8" s="34"/>
      <c r="AI8" s="41"/>
      <c r="AJ8" s="33"/>
      <c r="AK8" s="36"/>
    </row>
    <row r="9" spans="1:37" x14ac:dyDescent="0.25">
      <c r="A9" s="32" t="s">
        <v>162</v>
      </c>
      <c r="B9" s="32" t="s">
        <v>508</v>
      </c>
      <c r="C9" s="32" t="s">
        <v>508</v>
      </c>
      <c r="D9" s="32" t="s">
        <v>218</v>
      </c>
      <c r="E9" s="32" t="s">
        <v>373</v>
      </c>
      <c r="F9" s="32" t="s">
        <v>374</v>
      </c>
      <c r="G9" s="32">
        <v>8</v>
      </c>
      <c r="H9" s="32" t="s">
        <v>494</v>
      </c>
      <c r="I9" s="32" t="s">
        <v>481</v>
      </c>
      <c r="J9" s="34">
        <v>143</v>
      </c>
      <c r="K9" s="61">
        <f t="shared" si="1"/>
        <v>143</v>
      </c>
      <c r="L9" s="41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90"/>
      <c r="AA9" s="62">
        <f t="shared" si="0"/>
        <v>0</v>
      </c>
      <c r="AB9" s="32"/>
      <c r="AC9" s="32">
        <v>1</v>
      </c>
      <c r="AD9" s="32"/>
      <c r="AE9" s="36"/>
      <c r="AF9" s="32"/>
      <c r="AG9" s="32"/>
      <c r="AH9" s="34"/>
      <c r="AI9" s="41"/>
      <c r="AJ9" s="33"/>
      <c r="AK9" s="36"/>
    </row>
    <row r="10" spans="1:37" ht="15.75" thickBot="1" x14ac:dyDescent="0.3">
      <c r="A10" s="32" t="s">
        <v>163</v>
      </c>
      <c r="B10" s="32" t="s">
        <v>508</v>
      </c>
      <c r="C10" s="32" t="s">
        <v>508</v>
      </c>
      <c r="D10" s="32" t="s">
        <v>218</v>
      </c>
      <c r="E10" s="32" t="s">
        <v>375</v>
      </c>
      <c r="F10" s="32" t="s">
        <v>373</v>
      </c>
      <c r="G10" s="32">
        <v>8</v>
      </c>
      <c r="H10" s="32" t="s">
        <v>494</v>
      </c>
      <c r="I10" s="32" t="s">
        <v>481</v>
      </c>
      <c r="J10" s="34">
        <v>84</v>
      </c>
      <c r="K10" s="61">
        <f t="shared" si="1"/>
        <v>84</v>
      </c>
      <c r="L10" s="41"/>
      <c r="M10" s="32"/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206"/>
      <c r="Z10" s="90"/>
      <c r="AA10" s="62">
        <f t="shared" si="0"/>
        <v>0</v>
      </c>
      <c r="AB10" s="32"/>
      <c r="AC10" s="32">
        <v>1</v>
      </c>
      <c r="AD10" s="32"/>
      <c r="AE10" s="36"/>
      <c r="AF10" s="32"/>
      <c r="AG10" s="32"/>
      <c r="AH10" s="34"/>
      <c r="AI10" s="41"/>
      <c r="AJ10" s="33"/>
      <c r="AK10" s="36"/>
    </row>
    <row r="11" spans="1:37" ht="30.75" thickBot="1" x14ac:dyDescent="0.3">
      <c r="A11" s="32" t="s">
        <v>164</v>
      </c>
      <c r="B11" s="32" t="s">
        <v>218</v>
      </c>
      <c r="C11" s="32" t="s">
        <v>218</v>
      </c>
      <c r="D11" s="32" t="s">
        <v>223</v>
      </c>
      <c r="E11" s="32" t="s">
        <v>376</v>
      </c>
      <c r="F11" s="32" t="s">
        <v>377</v>
      </c>
      <c r="G11" s="32">
        <v>8</v>
      </c>
      <c r="H11" s="32" t="s">
        <v>494</v>
      </c>
      <c r="I11" s="32" t="s">
        <v>481</v>
      </c>
      <c r="J11" s="34">
        <v>167</v>
      </c>
      <c r="K11" s="61">
        <f t="shared" si="1"/>
        <v>167</v>
      </c>
      <c r="L11" s="41">
        <v>46114</v>
      </c>
      <c r="M11" s="32" t="s">
        <v>1054</v>
      </c>
      <c r="N11" s="32">
        <v>167</v>
      </c>
      <c r="O11" s="32">
        <v>166.7</v>
      </c>
      <c r="P11" s="32">
        <v>2</v>
      </c>
      <c r="Q11" s="32" t="s">
        <v>1044</v>
      </c>
      <c r="R11" s="32" t="s">
        <v>990</v>
      </c>
      <c r="S11" s="32" t="s">
        <v>1053</v>
      </c>
      <c r="T11" s="32" t="s">
        <v>990</v>
      </c>
      <c r="U11" s="32" t="s">
        <v>223</v>
      </c>
      <c r="V11" s="32" t="s">
        <v>1047</v>
      </c>
      <c r="W11" s="32" t="s">
        <v>1048</v>
      </c>
      <c r="X11" s="34" t="s">
        <v>1052</v>
      </c>
      <c r="Y11" s="224"/>
      <c r="Z11" s="90"/>
      <c r="AA11" s="62">
        <f t="shared" si="0"/>
        <v>0</v>
      </c>
      <c r="AB11" s="32"/>
      <c r="AC11" s="32">
        <v>2</v>
      </c>
      <c r="AD11" s="32"/>
      <c r="AE11" s="36"/>
      <c r="AF11" s="32"/>
      <c r="AG11" s="32"/>
      <c r="AH11" s="34"/>
      <c r="AI11" s="41"/>
      <c r="AJ11" s="33"/>
      <c r="AK11" s="36"/>
    </row>
    <row r="12" spans="1:37" ht="45.75" thickBot="1" x14ac:dyDescent="0.3">
      <c r="A12" s="32" t="s">
        <v>165</v>
      </c>
      <c r="B12" s="32" t="s">
        <v>218</v>
      </c>
      <c r="C12" s="32" t="s">
        <v>218</v>
      </c>
      <c r="D12" s="32" t="s">
        <v>223</v>
      </c>
      <c r="E12" s="32" t="s">
        <v>378</v>
      </c>
      <c r="F12" s="32" t="s">
        <v>376</v>
      </c>
      <c r="G12" s="32">
        <v>8</v>
      </c>
      <c r="H12" s="32" t="s">
        <v>495</v>
      </c>
      <c r="I12" s="32" t="s">
        <v>481</v>
      </c>
      <c r="J12" s="34">
        <v>203</v>
      </c>
      <c r="K12" s="61">
        <f t="shared" si="1"/>
        <v>202</v>
      </c>
      <c r="L12" s="41">
        <v>46114</v>
      </c>
      <c r="M12" s="32" t="s">
        <v>1046</v>
      </c>
      <c r="N12" s="32">
        <v>202</v>
      </c>
      <c r="O12" s="32">
        <v>201.4</v>
      </c>
      <c r="P12" s="32">
        <v>1</v>
      </c>
      <c r="Q12" s="32" t="s">
        <v>1055</v>
      </c>
      <c r="R12" s="32" t="s">
        <v>990</v>
      </c>
      <c r="S12" s="32" t="s">
        <v>1044</v>
      </c>
      <c r="T12" s="32" t="s">
        <v>990</v>
      </c>
      <c r="U12" s="32" t="s">
        <v>223</v>
      </c>
      <c r="V12" s="32" t="s">
        <v>1047</v>
      </c>
      <c r="W12" s="32" t="s">
        <v>1051</v>
      </c>
      <c r="X12" s="34" t="s">
        <v>1052</v>
      </c>
      <c r="Y12" s="224" t="s">
        <v>1056</v>
      </c>
      <c r="Z12" s="90"/>
      <c r="AA12" s="62">
        <f t="shared" si="0"/>
        <v>0</v>
      </c>
      <c r="AB12" s="32"/>
      <c r="AC12" s="32">
        <v>2</v>
      </c>
      <c r="AD12" s="32"/>
      <c r="AE12" s="36"/>
      <c r="AF12" s="32"/>
      <c r="AG12" s="32"/>
      <c r="AH12" s="34"/>
      <c r="AI12" s="41"/>
      <c r="AJ12" s="33"/>
      <c r="AK12" s="36"/>
    </row>
    <row r="13" spans="1:37" ht="30.75" thickBot="1" x14ac:dyDescent="0.3">
      <c r="A13" s="32" t="s">
        <v>166</v>
      </c>
      <c r="B13" s="32" t="s">
        <v>218</v>
      </c>
      <c r="C13" s="32" t="s">
        <v>218</v>
      </c>
      <c r="D13" s="32" t="s">
        <v>223</v>
      </c>
      <c r="E13" s="32" t="s">
        <v>379</v>
      </c>
      <c r="F13" s="32" t="s">
        <v>376</v>
      </c>
      <c r="G13" s="32">
        <v>8</v>
      </c>
      <c r="H13" s="32" t="s">
        <v>494</v>
      </c>
      <c r="I13" s="32" t="s">
        <v>481</v>
      </c>
      <c r="J13" s="34">
        <v>123</v>
      </c>
      <c r="K13" s="61">
        <f t="shared" si="1"/>
        <v>122</v>
      </c>
      <c r="L13" s="41">
        <v>46114</v>
      </c>
      <c r="M13" s="32" t="s">
        <v>1046</v>
      </c>
      <c r="N13" s="32">
        <v>122</v>
      </c>
      <c r="O13" s="32">
        <v>121.9</v>
      </c>
      <c r="P13" s="32">
        <v>0</v>
      </c>
      <c r="Q13" s="32" t="s">
        <v>1045</v>
      </c>
      <c r="R13" s="32" t="s">
        <v>990</v>
      </c>
      <c r="S13" s="32" t="s">
        <v>1044</v>
      </c>
      <c r="T13" s="32" t="s">
        <v>990</v>
      </c>
      <c r="U13" s="32" t="s">
        <v>223</v>
      </c>
      <c r="V13" s="32" t="s">
        <v>1047</v>
      </c>
      <c r="W13" s="32" t="s">
        <v>1048</v>
      </c>
      <c r="X13" s="34" t="s">
        <v>1052</v>
      </c>
      <c r="Y13" s="224"/>
      <c r="Z13" s="90"/>
      <c r="AA13" s="62">
        <f t="shared" si="0"/>
        <v>0</v>
      </c>
      <c r="AB13" s="32"/>
      <c r="AC13" s="32">
        <v>0</v>
      </c>
      <c r="AD13" s="32"/>
      <c r="AE13" s="36"/>
      <c r="AF13" s="32"/>
      <c r="AG13" s="32"/>
      <c r="AH13" s="34"/>
      <c r="AI13" s="41"/>
      <c r="AJ13" s="33"/>
      <c r="AK13" s="36"/>
    </row>
    <row r="14" spans="1:37" x14ac:dyDescent="0.25">
      <c r="A14" s="32" t="s">
        <v>167</v>
      </c>
      <c r="B14" s="32" t="s">
        <v>509</v>
      </c>
      <c r="C14" s="32" t="s">
        <v>509</v>
      </c>
      <c r="D14" s="32" t="s">
        <v>218</v>
      </c>
      <c r="E14" s="32" t="s">
        <v>380</v>
      </c>
      <c r="F14" s="32" t="s">
        <v>375</v>
      </c>
      <c r="G14" s="32">
        <v>8</v>
      </c>
      <c r="H14" s="32" t="s">
        <v>494</v>
      </c>
      <c r="I14" s="32" t="s">
        <v>481</v>
      </c>
      <c r="J14" s="34">
        <v>332</v>
      </c>
      <c r="K14" s="61">
        <f t="shared" si="1"/>
        <v>332</v>
      </c>
      <c r="L14" s="41"/>
      <c r="M14" s="32"/>
      <c r="N14" s="32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214"/>
      <c r="Z14" s="90"/>
      <c r="AA14" s="62">
        <f t="shared" si="0"/>
        <v>0</v>
      </c>
      <c r="AB14" s="32"/>
      <c r="AC14" s="32">
        <v>4</v>
      </c>
      <c r="AD14" s="32"/>
      <c r="AE14" s="36"/>
      <c r="AF14" s="32"/>
      <c r="AG14" s="32"/>
      <c r="AH14" s="34"/>
      <c r="AI14" s="41"/>
      <c r="AJ14" s="33"/>
      <c r="AK14" s="36"/>
    </row>
    <row r="15" spans="1:37" ht="15.75" thickBot="1" x14ac:dyDescent="0.3">
      <c r="A15" s="32" t="s">
        <v>168</v>
      </c>
      <c r="B15" s="32" t="s">
        <v>510</v>
      </c>
      <c r="C15" s="32" t="s">
        <v>581</v>
      </c>
      <c r="D15" s="32" t="s">
        <v>218</v>
      </c>
      <c r="E15" s="32" t="s">
        <v>381</v>
      </c>
      <c r="F15" s="32" t="s">
        <v>380</v>
      </c>
      <c r="G15" s="32">
        <v>8</v>
      </c>
      <c r="H15" s="32" t="s">
        <v>494</v>
      </c>
      <c r="I15" s="32" t="s">
        <v>481</v>
      </c>
      <c r="J15" s="34">
        <v>115</v>
      </c>
      <c r="K15" s="61">
        <f t="shared" si="1"/>
        <v>115</v>
      </c>
      <c r="L15" s="41"/>
      <c r="M15" s="32"/>
      <c r="N15" s="32"/>
      <c r="O15" s="32"/>
      <c r="P15" s="32"/>
      <c r="Q15" s="32"/>
      <c r="R15" s="32"/>
      <c r="S15" s="32"/>
      <c r="T15" s="32"/>
      <c r="U15" s="32"/>
      <c r="V15" s="32"/>
      <c r="W15" s="32"/>
      <c r="X15" s="32"/>
      <c r="Y15" s="206"/>
      <c r="Z15" s="90"/>
      <c r="AA15" s="62">
        <f t="shared" si="0"/>
        <v>0</v>
      </c>
      <c r="AB15" s="32"/>
      <c r="AC15" s="32">
        <v>2</v>
      </c>
      <c r="AD15" s="32"/>
      <c r="AE15" s="36"/>
      <c r="AF15" s="32"/>
      <c r="AG15" s="32"/>
      <c r="AH15" s="34"/>
      <c r="AI15" s="41"/>
      <c r="AJ15" s="33"/>
      <c r="AK15" s="36"/>
    </row>
    <row r="16" spans="1:37" ht="45.75" thickBot="1" x14ac:dyDescent="0.3">
      <c r="A16" s="32" t="s">
        <v>169</v>
      </c>
      <c r="B16" s="32" t="s">
        <v>218</v>
      </c>
      <c r="C16" s="32" t="s">
        <v>218</v>
      </c>
      <c r="D16" s="32" t="s">
        <v>223</v>
      </c>
      <c r="E16" s="32" t="s">
        <v>382</v>
      </c>
      <c r="F16" s="32" t="s">
        <v>379</v>
      </c>
      <c r="G16" s="32">
        <v>8</v>
      </c>
      <c r="H16" s="32" t="s">
        <v>494</v>
      </c>
      <c r="I16" s="32" t="s">
        <v>481</v>
      </c>
      <c r="J16" s="34">
        <v>269</v>
      </c>
      <c r="K16" s="61">
        <f t="shared" si="1"/>
        <v>270</v>
      </c>
      <c r="L16" s="41">
        <v>46114</v>
      </c>
      <c r="M16" s="32" t="s">
        <v>1046</v>
      </c>
      <c r="N16" s="32">
        <v>270</v>
      </c>
      <c r="O16" s="32">
        <v>269.8</v>
      </c>
      <c r="P16" s="32">
        <v>4</v>
      </c>
      <c r="Q16" s="32" t="s">
        <v>1050</v>
      </c>
      <c r="R16" s="32" t="s">
        <v>1047</v>
      </c>
      <c r="S16" s="32" t="s">
        <v>1045</v>
      </c>
      <c r="T16" s="32" t="s">
        <v>990</v>
      </c>
      <c r="U16" s="32" t="s">
        <v>223</v>
      </c>
      <c r="V16" s="32" t="s">
        <v>1047</v>
      </c>
      <c r="W16" s="32" t="s">
        <v>1051</v>
      </c>
      <c r="X16" s="34" t="s">
        <v>1052</v>
      </c>
      <c r="Y16" s="224" t="s">
        <v>1049</v>
      </c>
      <c r="Z16" s="90"/>
      <c r="AA16" s="62">
        <f t="shared" si="0"/>
        <v>0</v>
      </c>
      <c r="AB16" s="32"/>
      <c r="AC16" s="32">
        <v>4</v>
      </c>
      <c r="AD16" s="32"/>
      <c r="AE16" s="36"/>
      <c r="AF16" s="32"/>
      <c r="AG16" s="32"/>
      <c r="AH16" s="34"/>
      <c r="AI16" s="41"/>
      <c r="AJ16" s="33"/>
      <c r="AK16" s="36"/>
    </row>
    <row r="17" spans="1:37" x14ac:dyDescent="0.25">
      <c r="A17" s="32" t="s">
        <v>170</v>
      </c>
      <c r="B17" s="32" t="s">
        <v>218</v>
      </c>
      <c r="C17" s="32" t="s">
        <v>218</v>
      </c>
      <c r="D17" s="32" t="s">
        <v>223</v>
      </c>
      <c r="E17" s="32" t="s">
        <v>383</v>
      </c>
      <c r="F17" s="32" t="s">
        <v>384</v>
      </c>
      <c r="G17" s="32">
        <v>8</v>
      </c>
      <c r="H17" s="32" t="s">
        <v>494</v>
      </c>
      <c r="I17" s="32" t="s">
        <v>482</v>
      </c>
      <c r="J17" s="34">
        <v>320</v>
      </c>
      <c r="K17" s="61">
        <f t="shared" si="1"/>
        <v>320</v>
      </c>
      <c r="L17" s="41"/>
      <c r="M17" s="32"/>
      <c r="N17" s="32"/>
      <c r="O17" s="32"/>
      <c r="P17" s="32"/>
      <c r="Q17" s="32"/>
      <c r="R17" s="32"/>
      <c r="S17" s="32"/>
      <c r="T17" s="32"/>
      <c r="U17" s="32"/>
      <c r="V17" s="32"/>
      <c r="W17" s="32"/>
      <c r="X17" s="32"/>
      <c r="Y17" s="214"/>
      <c r="Z17" s="90"/>
      <c r="AA17" s="62">
        <f t="shared" si="0"/>
        <v>0</v>
      </c>
      <c r="AB17" s="32"/>
      <c r="AC17" s="32">
        <v>5</v>
      </c>
      <c r="AD17" s="32"/>
      <c r="AE17" s="36"/>
      <c r="AF17" s="32"/>
      <c r="AG17" s="32"/>
      <c r="AH17" s="34"/>
      <c r="AI17" s="41"/>
      <c r="AJ17" s="33"/>
      <c r="AK17" s="36"/>
    </row>
    <row r="18" spans="1:37" x14ac:dyDescent="0.25">
      <c r="A18" s="32" t="s">
        <v>171</v>
      </c>
      <c r="B18" s="32" t="s">
        <v>511</v>
      </c>
      <c r="C18" s="32" t="s">
        <v>511</v>
      </c>
      <c r="D18" s="32" t="s">
        <v>80</v>
      </c>
      <c r="E18" s="32" t="s">
        <v>385</v>
      </c>
      <c r="F18" s="32" t="s">
        <v>386</v>
      </c>
      <c r="G18" s="32">
        <v>8</v>
      </c>
      <c r="H18" s="32" t="s">
        <v>496</v>
      </c>
      <c r="I18" s="32" t="s">
        <v>481</v>
      </c>
      <c r="J18" s="34">
        <v>125</v>
      </c>
      <c r="K18" s="61">
        <f t="shared" si="1"/>
        <v>125</v>
      </c>
      <c r="L18" s="41"/>
      <c r="M18" s="32"/>
      <c r="N18" s="32"/>
      <c r="O18" s="32"/>
      <c r="P18" s="32"/>
      <c r="Q18" s="32"/>
      <c r="R18" s="32"/>
      <c r="S18" s="32"/>
      <c r="T18" s="32"/>
      <c r="U18" s="32"/>
      <c r="V18" s="32"/>
      <c r="W18" s="32"/>
      <c r="X18" s="32"/>
      <c r="Y18" s="32"/>
      <c r="Z18" s="90"/>
      <c r="AA18" s="62">
        <f t="shared" si="0"/>
        <v>0</v>
      </c>
      <c r="AB18" s="32"/>
      <c r="AC18" s="32">
        <v>1</v>
      </c>
      <c r="AD18" s="32"/>
      <c r="AE18" s="36"/>
      <c r="AF18" s="32"/>
      <c r="AG18" s="32"/>
      <c r="AH18" s="34"/>
      <c r="AI18" s="41"/>
      <c r="AJ18" s="33"/>
      <c r="AK18" s="36"/>
    </row>
    <row r="19" spans="1:37" x14ac:dyDescent="0.25">
      <c r="A19" s="32" t="s">
        <v>172</v>
      </c>
      <c r="B19" s="32" t="s">
        <v>508</v>
      </c>
      <c r="C19" s="32" t="s">
        <v>508</v>
      </c>
      <c r="D19" s="32" t="s">
        <v>80</v>
      </c>
      <c r="E19" s="32" t="s">
        <v>387</v>
      </c>
      <c r="F19" s="32" t="s">
        <v>385</v>
      </c>
      <c r="G19" s="32">
        <v>8</v>
      </c>
      <c r="H19" s="32" t="s">
        <v>496</v>
      </c>
      <c r="I19" s="32" t="s">
        <v>481</v>
      </c>
      <c r="J19" s="34">
        <v>278</v>
      </c>
      <c r="K19" s="61">
        <f t="shared" si="1"/>
        <v>278</v>
      </c>
      <c r="L19" s="41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90"/>
      <c r="AA19" s="62">
        <f t="shared" si="0"/>
        <v>0</v>
      </c>
      <c r="AB19" s="32"/>
      <c r="AC19" s="32">
        <v>3</v>
      </c>
      <c r="AD19" s="32"/>
      <c r="AE19" s="36"/>
      <c r="AF19" s="32"/>
      <c r="AG19" s="32"/>
      <c r="AH19" s="34"/>
      <c r="AI19" s="41"/>
      <c r="AJ19" s="33"/>
      <c r="AK19" s="36"/>
    </row>
    <row r="20" spans="1:37" x14ac:dyDescent="0.25">
      <c r="A20" s="32" t="s">
        <v>173</v>
      </c>
      <c r="B20" s="32" t="s">
        <v>508</v>
      </c>
      <c r="C20" s="32" t="s">
        <v>508</v>
      </c>
      <c r="D20" s="32" t="s">
        <v>80</v>
      </c>
      <c r="E20" s="32" t="s">
        <v>388</v>
      </c>
      <c r="F20" s="32" t="s">
        <v>387</v>
      </c>
      <c r="G20" s="32">
        <v>8</v>
      </c>
      <c r="H20" s="32" t="s">
        <v>497</v>
      </c>
      <c r="I20" s="32" t="s">
        <v>481</v>
      </c>
      <c r="J20" s="34">
        <v>255</v>
      </c>
      <c r="K20" s="61">
        <f t="shared" si="1"/>
        <v>255</v>
      </c>
      <c r="L20" s="41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90"/>
      <c r="AA20" s="62">
        <f t="shared" si="0"/>
        <v>0</v>
      </c>
      <c r="AB20" s="32"/>
      <c r="AC20" s="32">
        <v>2</v>
      </c>
      <c r="AD20" s="32"/>
      <c r="AE20" s="36"/>
      <c r="AF20" s="32"/>
      <c r="AG20" s="32"/>
      <c r="AH20" s="34"/>
      <c r="AI20" s="41"/>
      <c r="AJ20" s="33"/>
      <c r="AK20" s="36"/>
    </row>
    <row r="21" spans="1:37" ht="30" x14ac:dyDescent="0.25">
      <c r="A21" s="32" t="s">
        <v>323</v>
      </c>
      <c r="B21" s="32" t="s">
        <v>317</v>
      </c>
      <c r="C21" s="32" t="s">
        <v>317</v>
      </c>
      <c r="D21" s="32" t="s">
        <v>224</v>
      </c>
      <c r="E21" s="32" t="s">
        <v>389</v>
      </c>
      <c r="F21" s="32" t="s">
        <v>388</v>
      </c>
      <c r="G21" s="32">
        <v>8</v>
      </c>
      <c r="H21" s="32" t="s">
        <v>497</v>
      </c>
      <c r="I21" s="32" t="s">
        <v>481</v>
      </c>
      <c r="J21" s="34">
        <v>73</v>
      </c>
      <c r="K21" s="61">
        <f t="shared" si="1"/>
        <v>74</v>
      </c>
      <c r="L21" s="41">
        <v>46118</v>
      </c>
      <c r="M21" s="32" t="s">
        <v>1054</v>
      </c>
      <c r="N21" s="32">
        <v>74</v>
      </c>
      <c r="O21" s="32">
        <v>73.099999999999994</v>
      </c>
      <c r="P21" s="32">
        <v>0</v>
      </c>
      <c r="Q21" s="32" t="s">
        <v>1079</v>
      </c>
      <c r="R21" s="32" t="s">
        <v>990</v>
      </c>
      <c r="S21" s="32" t="s">
        <v>1060</v>
      </c>
      <c r="T21" s="32" t="s">
        <v>990</v>
      </c>
      <c r="U21" s="32" t="s">
        <v>78</v>
      </c>
      <c r="V21" s="32" t="s">
        <v>1047</v>
      </c>
      <c r="W21" s="32" t="s">
        <v>1048</v>
      </c>
      <c r="X21" s="32" t="s">
        <v>1052</v>
      </c>
      <c r="Y21" s="32"/>
      <c r="Z21" s="90"/>
      <c r="AA21" s="62">
        <f t="shared" si="0"/>
        <v>0</v>
      </c>
      <c r="AB21" s="32"/>
      <c r="AC21" s="32">
        <v>0</v>
      </c>
      <c r="AD21" s="32"/>
      <c r="AE21" s="36"/>
      <c r="AF21" s="32"/>
      <c r="AG21" s="32"/>
      <c r="AH21" s="34"/>
      <c r="AI21" s="41"/>
      <c r="AJ21" s="33"/>
      <c r="AK21" s="36"/>
    </row>
    <row r="22" spans="1:37" ht="30" x14ac:dyDescent="0.25">
      <c r="A22" s="32" t="s">
        <v>324</v>
      </c>
      <c r="B22" s="32" t="s">
        <v>317</v>
      </c>
      <c r="C22" s="32" t="s">
        <v>317</v>
      </c>
      <c r="D22" s="32" t="s">
        <v>80</v>
      </c>
      <c r="E22" s="32" t="s">
        <v>390</v>
      </c>
      <c r="F22" s="32" t="s">
        <v>389</v>
      </c>
      <c r="G22" s="32">
        <v>8</v>
      </c>
      <c r="H22" s="32" t="s">
        <v>497</v>
      </c>
      <c r="I22" s="32" t="s">
        <v>481</v>
      </c>
      <c r="J22" s="34">
        <v>98</v>
      </c>
      <c r="K22" s="61">
        <f t="shared" si="1"/>
        <v>102</v>
      </c>
      <c r="L22" s="41">
        <v>46118</v>
      </c>
      <c r="M22" s="32" t="s">
        <v>1046</v>
      </c>
      <c r="N22" s="32">
        <v>102</v>
      </c>
      <c r="O22" s="32">
        <v>101.5</v>
      </c>
      <c r="P22" s="32">
        <v>1</v>
      </c>
      <c r="Q22" s="32" t="s">
        <v>1068</v>
      </c>
      <c r="R22" s="32" t="s">
        <v>990</v>
      </c>
      <c r="S22" s="32" t="s">
        <v>1060</v>
      </c>
      <c r="T22" s="32" t="s">
        <v>990</v>
      </c>
      <c r="U22" s="32" t="s">
        <v>80</v>
      </c>
      <c r="V22" s="32" t="s">
        <v>1047</v>
      </c>
      <c r="W22" s="32" t="s">
        <v>1048</v>
      </c>
      <c r="X22" s="32" t="s">
        <v>1052</v>
      </c>
      <c r="Y22" s="32"/>
      <c r="Z22" s="90"/>
      <c r="AA22" s="62">
        <f t="shared" si="0"/>
        <v>0</v>
      </c>
      <c r="AB22" s="32"/>
      <c r="AC22" s="32">
        <v>2</v>
      </c>
      <c r="AD22" s="32"/>
      <c r="AE22" s="36"/>
      <c r="AF22" s="32"/>
      <c r="AG22" s="32"/>
      <c r="AH22" s="34"/>
      <c r="AI22" s="41"/>
      <c r="AJ22" s="33"/>
      <c r="AK22" s="36"/>
    </row>
    <row r="23" spans="1:37" x14ac:dyDescent="0.25">
      <c r="A23" s="32" t="s">
        <v>325</v>
      </c>
      <c r="B23" s="32" t="s">
        <v>508</v>
      </c>
      <c r="C23" s="32" t="s">
        <v>508</v>
      </c>
      <c r="D23" s="32" t="s">
        <v>224</v>
      </c>
      <c r="E23" s="32" t="s">
        <v>391</v>
      </c>
      <c r="F23" s="32" t="s">
        <v>392</v>
      </c>
      <c r="G23" s="32">
        <v>8</v>
      </c>
      <c r="H23" s="32" t="s">
        <v>498</v>
      </c>
      <c r="I23" s="32" t="s">
        <v>481</v>
      </c>
      <c r="J23" s="34">
        <v>258</v>
      </c>
      <c r="K23" s="61">
        <f t="shared" si="1"/>
        <v>258</v>
      </c>
      <c r="L23" s="41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90"/>
      <c r="AA23" s="62">
        <f t="shared" si="0"/>
        <v>0</v>
      </c>
      <c r="AB23" s="32"/>
      <c r="AC23" s="32">
        <v>1</v>
      </c>
      <c r="AD23" s="32"/>
      <c r="AE23" s="36"/>
      <c r="AF23" s="32"/>
      <c r="AG23" s="32"/>
      <c r="AH23" s="34"/>
      <c r="AI23" s="41"/>
      <c r="AJ23" s="33"/>
      <c r="AK23" s="36"/>
    </row>
    <row r="24" spans="1:37" ht="30" x14ac:dyDescent="0.25">
      <c r="A24" s="32" t="s">
        <v>326</v>
      </c>
      <c r="B24" s="32" t="s">
        <v>508</v>
      </c>
      <c r="C24" s="32" t="s">
        <v>508</v>
      </c>
      <c r="D24" s="32" t="s">
        <v>80</v>
      </c>
      <c r="E24" s="32" t="s">
        <v>393</v>
      </c>
      <c r="F24" s="32" t="s">
        <v>391</v>
      </c>
      <c r="G24" s="32">
        <v>8</v>
      </c>
      <c r="H24" s="32" t="s">
        <v>498</v>
      </c>
      <c r="I24" s="32" t="s">
        <v>481</v>
      </c>
      <c r="J24" s="34">
        <v>115</v>
      </c>
      <c r="K24" s="61">
        <f t="shared" ref="K24:K82" si="2">IF(N24&gt;0,N24,J24)</f>
        <v>113</v>
      </c>
      <c r="L24" s="41">
        <v>46118</v>
      </c>
      <c r="M24" s="32" t="s">
        <v>1054</v>
      </c>
      <c r="N24" s="32">
        <v>113</v>
      </c>
      <c r="O24" s="32">
        <v>112.2</v>
      </c>
      <c r="P24" s="32">
        <v>1</v>
      </c>
      <c r="Q24" s="32" t="s">
        <v>1075</v>
      </c>
      <c r="R24" s="32" t="s">
        <v>990</v>
      </c>
      <c r="S24" s="32" t="s">
        <v>1074</v>
      </c>
      <c r="T24" s="32" t="s">
        <v>990</v>
      </c>
      <c r="U24" s="32" t="s">
        <v>80</v>
      </c>
      <c r="V24" s="32" t="s">
        <v>1047</v>
      </c>
      <c r="W24" s="32" t="s">
        <v>1048</v>
      </c>
      <c r="X24" s="32" t="s">
        <v>1052</v>
      </c>
      <c r="Y24" s="32"/>
      <c r="Z24" s="90"/>
      <c r="AA24" s="62">
        <f t="shared" ref="AA24:AA82" si="3">IF(Z24&gt;0,K24,0)</f>
        <v>0</v>
      </c>
      <c r="AB24" s="32"/>
      <c r="AC24" s="32">
        <v>1</v>
      </c>
      <c r="AD24" s="32"/>
      <c r="AE24" s="36"/>
      <c r="AF24" s="32"/>
      <c r="AG24" s="32"/>
      <c r="AH24" s="34"/>
      <c r="AI24" s="41"/>
      <c r="AJ24" s="33"/>
      <c r="AK24" s="36"/>
    </row>
    <row r="25" spans="1:37" ht="30" x14ac:dyDescent="0.25">
      <c r="A25" s="32" t="s">
        <v>327</v>
      </c>
      <c r="B25" s="32" t="s">
        <v>508</v>
      </c>
      <c r="C25" s="32" t="s">
        <v>508</v>
      </c>
      <c r="D25" s="32" t="s">
        <v>80</v>
      </c>
      <c r="E25" s="32" t="s">
        <v>394</v>
      </c>
      <c r="F25" s="32" t="s">
        <v>393</v>
      </c>
      <c r="G25" s="32">
        <v>8</v>
      </c>
      <c r="H25" s="32" t="s">
        <v>496</v>
      </c>
      <c r="I25" s="32" t="s">
        <v>481</v>
      </c>
      <c r="J25" s="34">
        <v>193</v>
      </c>
      <c r="K25" s="61">
        <f t="shared" si="2"/>
        <v>194</v>
      </c>
      <c r="L25" s="41">
        <v>46118</v>
      </c>
      <c r="M25" s="32" t="s">
        <v>1046</v>
      </c>
      <c r="N25" s="32">
        <v>194</v>
      </c>
      <c r="O25" s="32">
        <v>193.5</v>
      </c>
      <c r="P25" s="32">
        <v>0</v>
      </c>
      <c r="Q25" s="32" t="s">
        <v>1065</v>
      </c>
      <c r="R25" s="32" t="s">
        <v>990</v>
      </c>
      <c r="S25" s="32" t="s">
        <v>1075</v>
      </c>
      <c r="T25" s="32" t="s">
        <v>990</v>
      </c>
      <c r="U25" s="32" t="s">
        <v>80</v>
      </c>
      <c r="V25" s="32" t="s">
        <v>1047</v>
      </c>
      <c r="W25" s="32" t="s">
        <v>1048</v>
      </c>
      <c r="X25" s="32" t="s">
        <v>1052</v>
      </c>
      <c r="Y25" s="32"/>
      <c r="Z25" s="90"/>
      <c r="AA25" s="62">
        <f t="shared" si="3"/>
        <v>0</v>
      </c>
      <c r="AB25" s="32"/>
      <c r="AC25" s="32">
        <v>0</v>
      </c>
      <c r="AD25" s="32"/>
      <c r="AE25" s="36"/>
      <c r="AF25" s="32"/>
      <c r="AG25" s="32"/>
      <c r="AH25" s="34"/>
      <c r="AI25" s="41"/>
      <c r="AJ25" s="33"/>
      <c r="AK25" s="36"/>
    </row>
    <row r="26" spans="1:37" ht="30" x14ac:dyDescent="0.25">
      <c r="A26" s="32" t="s">
        <v>328</v>
      </c>
      <c r="B26" s="32" t="s">
        <v>508</v>
      </c>
      <c r="C26" s="32" t="s">
        <v>508</v>
      </c>
      <c r="D26" s="32" t="s">
        <v>80</v>
      </c>
      <c r="E26" s="32" t="s">
        <v>395</v>
      </c>
      <c r="F26" s="32" t="s">
        <v>393</v>
      </c>
      <c r="G26" s="32">
        <v>8</v>
      </c>
      <c r="H26" s="32" t="s">
        <v>498</v>
      </c>
      <c r="I26" s="32" t="s">
        <v>481</v>
      </c>
      <c r="J26" s="34">
        <v>125</v>
      </c>
      <c r="K26" s="61">
        <f t="shared" si="2"/>
        <v>124</v>
      </c>
      <c r="L26" s="41" t="s">
        <v>1076</v>
      </c>
      <c r="M26" s="32" t="s">
        <v>1054</v>
      </c>
      <c r="N26" s="32">
        <v>124</v>
      </c>
      <c r="O26" s="32">
        <v>123.2</v>
      </c>
      <c r="P26" s="32">
        <v>2</v>
      </c>
      <c r="Q26" s="32" t="s">
        <v>1077</v>
      </c>
      <c r="R26" s="32" t="s">
        <v>990</v>
      </c>
      <c r="S26" s="32" t="s">
        <v>1075</v>
      </c>
      <c r="T26" s="32" t="s">
        <v>990</v>
      </c>
      <c r="U26" s="32" t="s">
        <v>80</v>
      </c>
      <c r="V26" s="32" t="s">
        <v>1047</v>
      </c>
      <c r="W26" s="32" t="s">
        <v>1048</v>
      </c>
      <c r="X26" s="32" t="s">
        <v>1052</v>
      </c>
      <c r="Y26" s="32"/>
      <c r="Z26" s="90"/>
      <c r="AA26" s="62">
        <f t="shared" si="3"/>
        <v>0</v>
      </c>
      <c r="AB26" s="32"/>
      <c r="AC26" s="32">
        <v>2</v>
      </c>
      <c r="AD26" s="32"/>
      <c r="AE26" s="36"/>
      <c r="AF26" s="32"/>
      <c r="AG26" s="32"/>
      <c r="AH26" s="34"/>
      <c r="AI26" s="41"/>
      <c r="AJ26" s="33"/>
      <c r="AK26" s="36"/>
    </row>
    <row r="27" spans="1:37" x14ac:dyDescent="0.25">
      <c r="A27" s="32" t="s">
        <v>329</v>
      </c>
      <c r="B27" s="32" t="s">
        <v>508</v>
      </c>
      <c r="C27" s="32" t="s">
        <v>508</v>
      </c>
      <c r="D27" s="32" t="s">
        <v>80</v>
      </c>
      <c r="E27" s="32" t="s">
        <v>396</v>
      </c>
      <c r="F27" s="32" t="s">
        <v>392</v>
      </c>
      <c r="G27" s="32">
        <v>8</v>
      </c>
      <c r="H27" s="32" t="s">
        <v>493</v>
      </c>
      <c r="I27" s="32" t="s">
        <v>481</v>
      </c>
      <c r="J27" s="34">
        <v>82</v>
      </c>
      <c r="K27" s="61">
        <f t="shared" si="2"/>
        <v>82</v>
      </c>
      <c r="L27" s="41"/>
      <c r="M27" s="32"/>
      <c r="N27" s="32"/>
      <c r="O27" s="32"/>
      <c r="P27" s="32"/>
      <c r="Q27" s="32"/>
      <c r="R27" s="32"/>
      <c r="S27" s="32"/>
      <c r="T27" s="32"/>
      <c r="U27" s="32"/>
      <c r="V27" s="32"/>
      <c r="W27" s="32"/>
      <c r="X27" s="32"/>
      <c r="Y27" s="32"/>
      <c r="Z27" s="90"/>
      <c r="AA27" s="62">
        <f t="shared" si="3"/>
        <v>0</v>
      </c>
      <c r="AB27" s="32"/>
      <c r="AC27" s="32">
        <v>1</v>
      </c>
      <c r="AD27" s="32"/>
      <c r="AE27" s="36"/>
      <c r="AF27" s="32"/>
      <c r="AG27" s="32"/>
      <c r="AH27" s="34"/>
      <c r="AI27" s="41"/>
      <c r="AJ27" s="33"/>
      <c r="AK27" s="36"/>
    </row>
    <row r="28" spans="1:37" x14ac:dyDescent="0.25">
      <c r="A28" s="32" t="s">
        <v>330</v>
      </c>
      <c r="B28" s="32" t="s">
        <v>508</v>
      </c>
      <c r="C28" s="32" t="s">
        <v>508</v>
      </c>
      <c r="D28" s="32" t="s">
        <v>224</v>
      </c>
      <c r="E28" s="32" t="s">
        <v>392</v>
      </c>
      <c r="F28" s="32" t="s">
        <v>397</v>
      </c>
      <c r="G28" s="32">
        <v>8</v>
      </c>
      <c r="H28" s="32" t="s">
        <v>493</v>
      </c>
      <c r="I28" s="32" t="s">
        <v>481</v>
      </c>
      <c r="J28" s="34">
        <v>177</v>
      </c>
      <c r="K28" s="61">
        <f t="shared" si="2"/>
        <v>177</v>
      </c>
      <c r="L28" s="41"/>
      <c r="M28" s="32"/>
      <c r="N28" s="32"/>
      <c r="O28" s="32"/>
      <c r="P28" s="32"/>
      <c r="Q28" s="32"/>
      <c r="R28" s="32"/>
      <c r="S28" s="32"/>
      <c r="T28" s="32"/>
      <c r="U28" s="32"/>
      <c r="V28" s="32"/>
      <c r="W28" s="32"/>
      <c r="X28" s="32"/>
      <c r="Y28" s="32"/>
      <c r="Z28" s="90"/>
      <c r="AA28" s="62">
        <f t="shared" si="3"/>
        <v>0</v>
      </c>
      <c r="AB28" s="32"/>
      <c r="AC28" s="32">
        <v>2</v>
      </c>
      <c r="AD28" s="32"/>
      <c r="AE28" s="36"/>
      <c r="AF28" s="32"/>
      <c r="AG28" s="32"/>
      <c r="AH28" s="34"/>
      <c r="AI28" s="41"/>
      <c r="AJ28" s="33"/>
      <c r="AK28" s="36"/>
    </row>
    <row r="29" spans="1:37" x14ac:dyDescent="0.25">
      <c r="A29" s="32" t="s">
        <v>331</v>
      </c>
      <c r="B29" s="32" t="s">
        <v>317</v>
      </c>
      <c r="C29" s="32" t="s">
        <v>317</v>
      </c>
      <c r="D29" s="32" t="s">
        <v>80</v>
      </c>
      <c r="E29" s="32" t="s">
        <v>397</v>
      </c>
      <c r="F29" s="32" t="s">
        <v>398</v>
      </c>
      <c r="G29" s="32">
        <v>8</v>
      </c>
      <c r="H29" s="32" t="s">
        <v>496</v>
      </c>
      <c r="I29" s="32" t="s">
        <v>481</v>
      </c>
      <c r="J29" s="34">
        <v>26</v>
      </c>
      <c r="K29" s="61">
        <f t="shared" si="2"/>
        <v>26</v>
      </c>
      <c r="L29" s="41"/>
      <c r="M29" s="32"/>
      <c r="N29" s="32"/>
      <c r="O29" s="32"/>
      <c r="P29" s="32"/>
      <c r="Q29" s="32"/>
      <c r="R29" s="32"/>
      <c r="S29" s="32"/>
      <c r="T29" s="32"/>
      <c r="U29" s="32"/>
      <c r="V29" s="32"/>
      <c r="W29" s="32"/>
      <c r="X29" s="32"/>
      <c r="Y29" s="32"/>
      <c r="Z29" s="90"/>
      <c r="AA29" s="62">
        <f t="shared" si="3"/>
        <v>0</v>
      </c>
      <c r="AB29" s="32"/>
      <c r="AC29" s="32">
        <v>0</v>
      </c>
      <c r="AD29" s="32"/>
      <c r="AE29" s="36"/>
      <c r="AF29" s="32"/>
      <c r="AG29" s="32"/>
      <c r="AH29" s="34"/>
      <c r="AI29" s="41"/>
      <c r="AJ29" s="33"/>
      <c r="AK29" s="36"/>
    </row>
    <row r="30" spans="1:37" x14ac:dyDescent="0.25">
      <c r="A30" s="32" t="s">
        <v>332</v>
      </c>
      <c r="B30" s="32" t="s">
        <v>317</v>
      </c>
      <c r="C30" s="32" t="s">
        <v>317</v>
      </c>
      <c r="D30" s="32" t="s">
        <v>80</v>
      </c>
      <c r="E30" s="32" t="s">
        <v>399</v>
      </c>
      <c r="F30" s="32" t="s">
        <v>386</v>
      </c>
      <c r="G30" s="32">
        <v>8</v>
      </c>
      <c r="H30" s="32" t="s">
        <v>493</v>
      </c>
      <c r="I30" s="32" t="s">
        <v>481</v>
      </c>
      <c r="J30" s="34">
        <v>139</v>
      </c>
      <c r="K30" s="61">
        <f t="shared" si="2"/>
        <v>139</v>
      </c>
      <c r="L30" s="41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90"/>
      <c r="AA30" s="62">
        <f t="shared" si="3"/>
        <v>0</v>
      </c>
      <c r="AB30" s="32"/>
      <c r="AC30" s="32">
        <v>0</v>
      </c>
      <c r="AD30" s="32"/>
      <c r="AE30" s="36"/>
      <c r="AF30" s="32"/>
      <c r="AG30" s="32"/>
      <c r="AH30" s="34"/>
      <c r="AI30" s="41"/>
      <c r="AJ30" s="33"/>
      <c r="AK30" s="36"/>
    </row>
    <row r="31" spans="1:37" x14ac:dyDescent="0.25">
      <c r="A31" s="32" t="s">
        <v>333</v>
      </c>
      <c r="B31" s="32" t="s">
        <v>508</v>
      </c>
      <c r="C31" s="32" t="s">
        <v>508</v>
      </c>
      <c r="D31" s="32" t="s">
        <v>80</v>
      </c>
      <c r="E31" s="32" t="s">
        <v>400</v>
      </c>
      <c r="F31" s="32" t="s">
        <v>397</v>
      </c>
      <c r="G31" s="32">
        <v>8</v>
      </c>
      <c r="H31" s="32" t="s">
        <v>496</v>
      </c>
      <c r="I31" s="32" t="s">
        <v>481</v>
      </c>
      <c r="J31" s="34">
        <v>83</v>
      </c>
      <c r="K31" s="61">
        <f t="shared" si="2"/>
        <v>83</v>
      </c>
      <c r="L31" s="41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90"/>
      <c r="AA31" s="62">
        <f t="shared" si="3"/>
        <v>0</v>
      </c>
      <c r="AB31" s="32"/>
      <c r="AC31" s="32">
        <v>0</v>
      </c>
      <c r="AD31" s="32"/>
      <c r="AE31" s="36"/>
      <c r="AF31" s="32"/>
      <c r="AG31" s="32"/>
      <c r="AH31" s="34"/>
      <c r="AI31" s="41"/>
      <c r="AJ31" s="33"/>
      <c r="AK31" s="36"/>
    </row>
    <row r="32" spans="1:37" x14ac:dyDescent="0.25">
      <c r="A32" s="32" t="s">
        <v>334</v>
      </c>
      <c r="B32" s="32" t="s">
        <v>317</v>
      </c>
      <c r="C32" s="32" t="s">
        <v>317</v>
      </c>
      <c r="D32" s="32" t="s">
        <v>80</v>
      </c>
      <c r="E32" s="32" t="s">
        <v>401</v>
      </c>
      <c r="F32" s="32" t="s">
        <v>399</v>
      </c>
      <c r="G32" s="32">
        <v>8</v>
      </c>
      <c r="H32" s="32" t="s">
        <v>499</v>
      </c>
      <c r="I32" s="32" t="s">
        <v>481</v>
      </c>
      <c r="J32" s="34">
        <v>45</v>
      </c>
      <c r="K32" s="61">
        <f t="shared" si="2"/>
        <v>45</v>
      </c>
      <c r="L32" s="41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90"/>
      <c r="AA32" s="62">
        <f t="shared" si="3"/>
        <v>0</v>
      </c>
      <c r="AB32" s="32"/>
      <c r="AC32" s="32">
        <v>0</v>
      </c>
      <c r="AD32" s="32"/>
      <c r="AE32" s="36"/>
      <c r="AF32" s="32"/>
      <c r="AG32" s="32"/>
      <c r="AH32" s="34"/>
      <c r="AI32" s="41"/>
      <c r="AJ32" s="33"/>
      <c r="AK32" s="36"/>
    </row>
    <row r="33" spans="1:37" ht="30" x14ac:dyDescent="0.25">
      <c r="A33" s="32" t="s">
        <v>335</v>
      </c>
      <c r="B33" s="32" t="s">
        <v>512</v>
      </c>
      <c r="C33" s="32" t="s">
        <v>583</v>
      </c>
      <c r="D33" s="32" t="s">
        <v>218</v>
      </c>
      <c r="E33" s="32" t="s">
        <v>402</v>
      </c>
      <c r="F33" s="32" t="s">
        <v>403</v>
      </c>
      <c r="G33" s="32">
        <v>8</v>
      </c>
      <c r="H33" s="32" t="s">
        <v>494</v>
      </c>
      <c r="I33" s="32" t="s">
        <v>483</v>
      </c>
      <c r="J33" s="34">
        <v>381</v>
      </c>
      <c r="K33" s="61">
        <f t="shared" si="2"/>
        <v>381</v>
      </c>
      <c r="L33" s="41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90"/>
      <c r="AA33" s="62">
        <f t="shared" si="3"/>
        <v>0</v>
      </c>
      <c r="AB33" s="32"/>
      <c r="AC33" s="32">
        <v>5</v>
      </c>
      <c r="AD33" s="32"/>
      <c r="AE33" s="36"/>
      <c r="AF33" s="32"/>
      <c r="AG33" s="32"/>
      <c r="AH33" s="34"/>
      <c r="AI33" s="41"/>
      <c r="AJ33" s="33"/>
      <c r="AK33" s="36"/>
    </row>
    <row r="34" spans="1:37" ht="30" x14ac:dyDescent="0.25">
      <c r="A34" s="32" t="s">
        <v>336</v>
      </c>
      <c r="B34" s="32" t="s">
        <v>513</v>
      </c>
      <c r="C34" s="32" t="s">
        <v>218</v>
      </c>
      <c r="D34" s="32" t="s">
        <v>223</v>
      </c>
      <c r="E34" s="32" t="s">
        <v>404</v>
      </c>
      <c r="F34" s="32" t="s">
        <v>405</v>
      </c>
      <c r="G34" s="32">
        <v>8</v>
      </c>
      <c r="H34" s="32" t="s">
        <v>494</v>
      </c>
      <c r="I34" s="32" t="s">
        <v>483</v>
      </c>
      <c r="J34" s="34">
        <v>94</v>
      </c>
      <c r="K34" s="61">
        <f t="shared" si="2"/>
        <v>94</v>
      </c>
      <c r="L34" s="41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90"/>
      <c r="AA34" s="62">
        <f t="shared" si="3"/>
        <v>0</v>
      </c>
      <c r="AB34" s="32"/>
      <c r="AC34" s="32">
        <v>2</v>
      </c>
      <c r="AD34" s="32"/>
      <c r="AE34" s="36"/>
      <c r="AF34" s="32"/>
      <c r="AG34" s="32"/>
      <c r="AH34" s="34"/>
      <c r="AI34" s="41"/>
      <c r="AJ34" s="33"/>
      <c r="AK34" s="36"/>
    </row>
    <row r="35" spans="1:37" x14ac:dyDescent="0.25">
      <c r="A35" s="32" t="s">
        <v>337</v>
      </c>
      <c r="B35" s="32" t="s">
        <v>218</v>
      </c>
      <c r="C35" s="32" t="s">
        <v>218</v>
      </c>
      <c r="D35" s="32" t="s">
        <v>223</v>
      </c>
      <c r="E35" s="32" t="s">
        <v>384</v>
      </c>
      <c r="F35" s="32" t="s">
        <v>406</v>
      </c>
      <c r="G35" s="32">
        <v>8</v>
      </c>
      <c r="H35" s="32" t="s">
        <v>494</v>
      </c>
      <c r="I35" s="32" t="s">
        <v>483</v>
      </c>
      <c r="J35" s="34">
        <v>293</v>
      </c>
      <c r="K35" s="61">
        <f t="shared" si="2"/>
        <v>293</v>
      </c>
      <c r="L35" s="41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90"/>
      <c r="AA35" s="62">
        <f t="shared" si="3"/>
        <v>0</v>
      </c>
      <c r="AB35" s="32"/>
      <c r="AC35" s="32">
        <v>4</v>
      </c>
      <c r="AD35" s="32"/>
      <c r="AE35" s="36"/>
      <c r="AF35" s="32"/>
      <c r="AG35" s="32"/>
      <c r="AH35" s="34"/>
      <c r="AI35" s="41"/>
      <c r="AJ35" s="33"/>
      <c r="AK35" s="36"/>
    </row>
    <row r="36" spans="1:37" x14ac:dyDescent="0.25">
      <c r="A36" s="32" t="s">
        <v>338</v>
      </c>
      <c r="B36" s="32" t="s">
        <v>514</v>
      </c>
      <c r="C36" s="32" t="s">
        <v>514</v>
      </c>
      <c r="D36" s="32" t="s">
        <v>218</v>
      </c>
      <c r="E36" s="32" t="s">
        <v>407</v>
      </c>
      <c r="F36" s="32" t="s">
        <v>408</v>
      </c>
      <c r="G36" s="32">
        <v>8</v>
      </c>
      <c r="H36" s="32" t="s">
        <v>494</v>
      </c>
      <c r="I36" s="32" t="s">
        <v>483</v>
      </c>
      <c r="J36" s="34">
        <v>283</v>
      </c>
      <c r="K36" s="61">
        <f t="shared" si="2"/>
        <v>283</v>
      </c>
      <c r="L36" s="41"/>
      <c r="M36" s="32"/>
      <c r="N36" s="32"/>
      <c r="O36" s="32"/>
      <c r="P36" s="32"/>
      <c r="Q36" s="32"/>
      <c r="R36" s="32"/>
      <c r="S36" s="32"/>
      <c r="T36" s="32"/>
      <c r="U36" s="32"/>
      <c r="V36" s="32"/>
      <c r="W36" s="32"/>
      <c r="X36" s="32"/>
      <c r="Y36" s="32"/>
      <c r="Z36" s="90"/>
      <c r="AA36" s="62">
        <f t="shared" si="3"/>
        <v>0</v>
      </c>
      <c r="AB36" s="32"/>
      <c r="AC36" s="32">
        <v>2</v>
      </c>
      <c r="AD36" s="32"/>
      <c r="AE36" s="36"/>
      <c r="AF36" s="32"/>
      <c r="AG36" s="32"/>
      <c r="AH36" s="34"/>
      <c r="AI36" s="41"/>
      <c r="AJ36" s="33"/>
      <c r="AK36" s="36"/>
    </row>
    <row r="37" spans="1:37" ht="30" x14ac:dyDescent="0.25">
      <c r="A37" s="32" t="s">
        <v>339</v>
      </c>
      <c r="B37" s="32" t="s">
        <v>515</v>
      </c>
      <c r="C37" s="32" t="s">
        <v>218</v>
      </c>
      <c r="D37" s="32" t="s">
        <v>223</v>
      </c>
      <c r="E37" s="32" t="s">
        <v>409</v>
      </c>
      <c r="F37" s="32" t="s">
        <v>410</v>
      </c>
      <c r="G37" s="32">
        <v>8</v>
      </c>
      <c r="H37" s="32" t="s">
        <v>494</v>
      </c>
      <c r="I37" s="32" t="s">
        <v>483</v>
      </c>
      <c r="J37" s="34">
        <v>226</v>
      </c>
      <c r="K37" s="61">
        <f t="shared" si="2"/>
        <v>226</v>
      </c>
      <c r="L37" s="41"/>
      <c r="M37" s="32"/>
      <c r="N37" s="32"/>
      <c r="O37" s="32"/>
      <c r="P37" s="32"/>
      <c r="Q37" s="32"/>
      <c r="R37" s="32"/>
      <c r="S37" s="32"/>
      <c r="T37" s="32"/>
      <c r="U37" s="32"/>
      <c r="V37" s="32"/>
      <c r="W37" s="32"/>
      <c r="X37" s="32"/>
      <c r="Y37" s="32"/>
      <c r="Z37" s="90"/>
      <c r="AA37" s="62">
        <f t="shared" si="3"/>
        <v>0</v>
      </c>
      <c r="AB37" s="32"/>
      <c r="AC37" s="32">
        <v>4</v>
      </c>
      <c r="AD37" s="32"/>
      <c r="AE37" s="36"/>
      <c r="AF37" s="32"/>
      <c r="AG37" s="32"/>
      <c r="AH37" s="34"/>
      <c r="AI37" s="41"/>
      <c r="AJ37" s="33"/>
      <c r="AK37" s="36"/>
    </row>
    <row r="38" spans="1:37" ht="30" x14ac:dyDescent="0.25">
      <c r="A38" s="32" t="s">
        <v>340</v>
      </c>
      <c r="B38" s="32" t="s">
        <v>516</v>
      </c>
      <c r="C38" s="32" t="s">
        <v>218</v>
      </c>
      <c r="D38" s="32" t="s">
        <v>223</v>
      </c>
      <c r="E38" s="32" t="s">
        <v>410</v>
      </c>
      <c r="F38" s="32" t="s">
        <v>411</v>
      </c>
      <c r="G38" s="32">
        <v>8</v>
      </c>
      <c r="H38" s="32" t="s">
        <v>494</v>
      </c>
      <c r="I38" s="32" t="s">
        <v>483</v>
      </c>
      <c r="J38" s="34">
        <v>241</v>
      </c>
      <c r="K38" s="61">
        <f t="shared" si="2"/>
        <v>241</v>
      </c>
      <c r="L38" s="41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90"/>
      <c r="AA38" s="62">
        <f t="shared" si="3"/>
        <v>0</v>
      </c>
      <c r="AB38" s="32"/>
      <c r="AC38" s="32">
        <v>2</v>
      </c>
      <c r="AD38" s="32"/>
      <c r="AE38" s="36"/>
      <c r="AF38" s="32"/>
      <c r="AG38" s="32"/>
      <c r="AH38" s="34"/>
      <c r="AI38" s="41"/>
      <c r="AJ38" s="33"/>
      <c r="AK38" s="36"/>
    </row>
    <row r="39" spans="1:37" ht="30" x14ac:dyDescent="0.25">
      <c r="A39" s="32" t="s">
        <v>341</v>
      </c>
      <c r="B39" s="32" t="s">
        <v>516</v>
      </c>
      <c r="C39" s="32" t="s">
        <v>218</v>
      </c>
      <c r="D39" s="32" t="s">
        <v>223</v>
      </c>
      <c r="E39" s="32" t="s">
        <v>411</v>
      </c>
      <c r="F39" s="32" t="s">
        <v>412</v>
      </c>
      <c r="G39" s="32">
        <v>8</v>
      </c>
      <c r="H39" s="32" t="s">
        <v>494</v>
      </c>
      <c r="I39" s="32" t="s">
        <v>483</v>
      </c>
      <c r="J39" s="34">
        <v>119</v>
      </c>
      <c r="K39" s="61">
        <f t="shared" si="2"/>
        <v>119</v>
      </c>
      <c r="L39" s="41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90"/>
      <c r="AA39" s="62">
        <f t="shared" si="3"/>
        <v>0</v>
      </c>
      <c r="AB39" s="32"/>
      <c r="AC39" s="32">
        <v>4</v>
      </c>
      <c r="AD39" s="32"/>
      <c r="AE39" s="36"/>
      <c r="AF39" s="32"/>
      <c r="AG39" s="32"/>
      <c r="AH39" s="34"/>
      <c r="AI39" s="41"/>
      <c r="AJ39" s="33"/>
      <c r="AK39" s="36"/>
    </row>
    <row r="40" spans="1:37" x14ac:dyDescent="0.25">
      <c r="A40" s="32" t="s">
        <v>342</v>
      </c>
      <c r="B40" s="32" t="s">
        <v>317</v>
      </c>
      <c r="C40" s="32" t="s">
        <v>317</v>
      </c>
      <c r="D40" s="32" t="s">
        <v>80</v>
      </c>
      <c r="E40" s="32" t="s">
        <v>413</v>
      </c>
      <c r="F40" s="32" t="s">
        <v>414</v>
      </c>
      <c r="G40" s="32">
        <v>8</v>
      </c>
      <c r="H40" s="32" t="s">
        <v>498</v>
      </c>
      <c r="I40" s="32" t="s">
        <v>483</v>
      </c>
      <c r="J40" s="34">
        <v>31</v>
      </c>
      <c r="K40" s="61">
        <f t="shared" si="2"/>
        <v>31</v>
      </c>
      <c r="L40" s="41"/>
      <c r="M40" s="32"/>
      <c r="N40" s="32"/>
      <c r="O40" s="32"/>
      <c r="P40" s="32"/>
      <c r="Q40" s="32"/>
      <c r="R40" s="32"/>
      <c r="S40" s="32"/>
      <c r="T40" s="32"/>
      <c r="U40" s="32"/>
      <c r="V40" s="32"/>
      <c r="W40" s="32"/>
      <c r="X40" s="32"/>
      <c r="Y40" s="32"/>
      <c r="Z40" s="90"/>
      <c r="AA40" s="62">
        <f t="shared" si="3"/>
        <v>0</v>
      </c>
      <c r="AB40" s="32"/>
      <c r="AC40" s="32">
        <v>0</v>
      </c>
      <c r="AD40" s="32"/>
      <c r="AE40" s="36"/>
      <c r="AF40" s="32"/>
      <c r="AG40" s="32"/>
      <c r="AH40" s="34"/>
      <c r="AI40" s="41"/>
      <c r="AJ40" s="33"/>
      <c r="AK40" s="36"/>
    </row>
    <row r="41" spans="1:37" x14ac:dyDescent="0.25">
      <c r="A41" s="32" t="s">
        <v>343</v>
      </c>
      <c r="B41" s="32" t="s">
        <v>508</v>
      </c>
      <c r="C41" s="32" t="s">
        <v>508</v>
      </c>
      <c r="D41" s="32" t="s">
        <v>224</v>
      </c>
      <c r="E41" s="32" t="s">
        <v>415</v>
      </c>
      <c r="F41" s="32" t="s">
        <v>413</v>
      </c>
      <c r="G41" s="32">
        <v>8</v>
      </c>
      <c r="H41" s="32" t="s">
        <v>500</v>
      </c>
      <c r="I41" s="32" t="s">
        <v>483</v>
      </c>
      <c r="J41" s="34">
        <v>100</v>
      </c>
      <c r="K41" s="61">
        <f t="shared" si="2"/>
        <v>100</v>
      </c>
      <c r="L41" s="41"/>
      <c r="M41" s="32"/>
      <c r="N41" s="32"/>
      <c r="O41" s="32"/>
      <c r="P41" s="32"/>
      <c r="Q41" s="32"/>
      <c r="R41" s="32"/>
      <c r="S41" s="32"/>
      <c r="T41" s="32"/>
      <c r="U41" s="32"/>
      <c r="V41" s="32"/>
      <c r="W41" s="32"/>
      <c r="X41" s="32"/>
      <c r="Y41" s="32"/>
      <c r="Z41" s="90"/>
      <c r="AA41" s="62">
        <f t="shared" si="3"/>
        <v>0</v>
      </c>
      <c r="AB41" s="32"/>
      <c r="AC41" s="32">
        <v>0</v>
      </c>
      <c r="AD41" s="32"/>
      <c r="AE41" s="36"/>
      <c r="AF41" s="32"/>
      <c r="AG41" s="32"/>
      <c r="AH41" s="34"/>
      <c r="AI41" s="41"/>
      <c r="AJ41" s="33"/>
      <c r="AK41" s="36"/>
    </row>
    <row r="42" spans="1:37" x14ac:dyDescent="0.25">
      <c r="A42" s="32" t="s">
        <v>344</v>
      </c>
      <c r="B42" s="32" t="s">
        <v>317</v>
      </c>
      <c r="C42" s="32" t="s">
        <v>317</v>
      </c>
      <c r="D42" s="32" t="s">
        <v>80</v>
      </c>
      <c r="E42" s="32" t="s">
        <v>416</v>
      </c>
      <c r="F42" s="32" t="s">
        <v>417</v>
      </c>
      <c r="G42" s="32">
        <v>8</v>
      </c>
      <c r="H42" s="32" t="s">
        <v>496</v>
      </c>
      <c r="I42" s="32" t="s">
        <v>483</v>
      </c>
      <c r="J42" s="34">
        <v>299</v>
      </c>
      <c r="K42" s="61">
        <f t="shared" si="2"/>
        <v>299</v>
      </c>
      <c r="L42" s="41"/>
      <c r="M42" s="32"/>
      <c r="N42" s="32"/>
      <c r="O42" s="32"/>
      <c r="P42" s="32"/>
      <c r="Q42" s="32"/>
      <c r="R42" s="32"/>
      <c r="S42" s="32"/>
      <c r="T42" s="32"/>
      <c r="U42" s="32"/>
      <c r="V42" s="32"/>
      <c r="W42" s="32"/>
      <c r="X42" s="32"/>
      <c r="Y42" s="32"/>
      <c r="Z42" s="90"/>
      <c r="AA42" s="62">
        <f t="shared" si="3"/>
        <v>0</v>
      </c>
      <c r="AB42" s="32"/>
      <c r="AC42" s="32">
        <v>3</v>
      </c>
      <c r="AD42" s="32"/>
      <c r="AE42" s="36"/>
      <c r="AF42" s="32"/>
      <c r="AG42" s="32"/>
      <c r="AH42" s="34"/>
      <c r="AI42" s="41"/>
      <c r="AJ42" s="33"/>
      <c r="AK42" s="36"/>
    </row>
    <row r="43" spans="1:37" x14ac:dyDescent="0.25">
      <c r="A43" s="32" t="s">
        <v>345</v>
      </c>
      <c r="B43" s="32" t="s">
        <v>508</v>
      </c>
      <c r="C43" s="32" t="s">
        <v>508</v>
      </c>
      <c r="D43" s="32" t="s">
        <v>80</v>
      </c>
      <c r="E43" s="32" t="s">
        <v>418</v>
      </c>
      <c r="F43" s="32" t="s">
        <v>416</v>
      </c>
      <c r="G43" s="32">
        <v>8</v>
      </c>
      <c r="H43" s="32" t="s">
        <v>496</v>
      </c>
      <c r="I43" s="32" t="s">
        <v>483</v>
      </c>
      <c r="J43" s="34">
        <v>69</v>
      </c>
      <c r="K43" s="61">
        <f t="shared" si="2"/>
        <v>69</v>
      </c>
      <c r="L43" s="41"/>
      <c r="M43" s="32"/>
      <c r="N43" s="32"/>
      <c r="O43" s="32"/>
      <c r="P43" s="32"/>
      <c r="Q43" s="32"/>
      <c r="R43" s="32"/>
      <c r="S43" s="32"/>
      <c r="T43" s="32"/>
      <c r="U43" s="32"/>
      <c r="V43" s="32"/>
      <c r="W43" s="32"/>
      <c r="X43" s="32"/>
      <c r="Y43" s="32"/>
      <c r="Z43" s="90"/>
      <c r="AA43" s="62">
        <f t="shared" si="3"/>
        <v>0</v>
      </c>
      <c r="AB43" s="32"/>
      <c r="AC43" s="32">
        <v>2</v>
      </c>
      <c r="AD43" s="32"/>
      <c r="AE43" s="36"/>
      <c r="AF43" s="32"/>
      <c r="AG43" s="32"/>
      <c r="AH43" s="34"/>
      <c r="AI43" s="41"/>
      <c r="AJ43" s="33"/>
      <c r="AK43" s="36"/>
    </row>
    <row r="44" spans="1:37" ht="30" x14ac:dyDescent="0.25">
      <c r="A44" s="32" t="s">
        <v>346</v>
      </c>
      <c r="B44" s="32" t="s">
        <v>517</v>
      </c>
      <c r="C44" s="32" t="s">
        <v>517</v>
      </c>
      <c r="D44" s="32" t="s">
        <v>80</v>
      </c>
      <c r="E44" s="32" t="s">
        <v>419</v>
      </c>
      <c r="F44" s="32" t="s">
        <v>420</v>
      </c>
      <c r="G44" s="32">
        <v>8</v>
      </c>
      <c r="H44" s="32" t="s">
        <v>498</v>
      </c>
      <c r="I44" s="32" t="s">
        <v>482</v>
      </c>
      <c r="J44" s="34">
        <v>269</v>
      </c>
      <c r="K44" s="61">
        <f t="shared" si="2"/>
        <v>288</v>
      </c>
      <c r="L44" s="41">
        <v>46118</v>
      </c>
      <c r="M44" s="32" t="s">
        <v>1054</v>
      </c>
      <c r="N44" s="32">
        <v>288</v>
      </c>
      <c r="O44" s="32">
        <v>287.39999999999998</v>
      </c>
      <c r="P44" s="32">
        <v>3</v>
      </c>
      <c r="Q44" s="32" t="s">
        <v>1073</v>
      </c>
      <c r="R44" s="32" t="s">
        <v>990</v>
      </c>
      <c r="S44" s="32" t="s">
        <v>1072</v>
      </c>
      <c r="T44" s="32" t="s">
        <v>990</v>
      </c>
      <c r="U44" s="32" t="s">
        <v>80</v>
      </c>
      <c r="V44" s="32" t="s">
        <v>1047</v>
      </c>
      <c r="W44" s="32" t="s">
        <v>1048</v>
      </c>
      <c r="X44" s="32" t="s">
        <v>1052</v>
      </c>
      <c r="Y44" s="32"/>
      <c r="Z44" s="90"/>
      <c r="AA44" s="62">
        <f t="shared" si="3"/>
        <v>0</v>
      </c>
      <c r="AB44" s="32"/>
      <c r="AC44" s="32">
        <v>3</v>
      </c>
      <c r="AD44" s="32"/>
      <c r="AE44" s="36"/>
      <c r="AF44" s="32"/>
      <c r="AG44" s="32"/>
      <c r="AH44" s="34"/>
      <c r="AI44" s="41"/>
      <c r="AJ44" s="33"/>
      <c r="AK44" s="36"/>
    </row>
    <row r="45" spans="1:37" x14ac:dyDescent="0.25">
      <c r="A45" s="32" t="s">
        <v>347</v>
      </c>
      <c r="B45" s="32" t="s">
        <v>518</v>
      </c>
      <c r="C45" s="32" t="s">
        <v>518</v>
      </c>
      <c r="D45" s="32" t="s">
        <v>80</v>
      </c>
      <c r="E45" s="32" t="s">
        <v>421</v>
      </c>
      <c r="F45" s="205" t="s">
        <v>422</v>
      </c>
      <c r="G45" s="32">
        <v>8</v>
      </c>
      <c r="H45" s="32" t="s">
        <v>501</v>
      </c>
      <c r="I45" s="32" t="s">
        <v>483</v>
      </c>
      <c r="J45" s="34">
        <v>269</v>
      </c>
      <c r="K45" s="61">
        <f t="shared" si="2"/>
        <v>269</v>
      </c>
      <c r="L45" s="41"/>
      <c r="M45" s="32"/>
      <c r="N45" s="32"/>
      <c r="O45" s="32"/>
      <c r="P45" s="32"/>
      <c r="Q45" s="32"/>
      <c r="R45" s="32"/>
      <c r="S45" s="32"/>
      <c r="T45" s="32"/>
      <c r="U45" s="32"/>
      <c r="V45" s="32"/>
      <c r="W45" s="32"/>
      <c r="X45" s="32"/>
      <c r="Y45" s="32"/>
      <c r="Z45" s="90"/>
      <c r="AA45" s="62">
        <f t="shared" si="3"/>
        <v>0</v>
      </c>
      <c r="AB45" s="32"/>
      <c r="AC45" s="32">
        <v>4</v>
      </c>
      <c r="AD45" s="32"/>
      <c r="AE45" s="36"/>
      <c r="AF45" s="32"/>
      <c r="AG45" s="32"/>
      <c r="AH45" s="34"/>
      <c r="AI45" s="41"/>
      <c r="AJ45" s="33"/>
      <c r="AK45" s="36"/>
    </row>
    <row r="46" spans="1:37" x14ac:dyDescent="0.25">
      <c r="A46" s="32" t="s">
        <v>348</v>
      </c>
      <c r="B46" s="32" t="s">
        <v>508</v>
      </c>
      <c r="C46" s="32" t="s">
        <v>508</v>
      </c>
      <c r="D46" s="32" t="s">
        <v>80</v>
      </c>
      <c r="E46" s="32" t="s">
        <v>423</v>
      </c>
      <c r="F46" s="32" t="s">
        <v>421</v>
      </c>
      <c r="G46" s="32">
        <v>8</v>
      </c>
      <c r="H46" s="32" t="s">
        <v>501</v>
      </c>
      <c r="I46" s="32" t="s">
        <v>483</v>
      </c>
      <c r="J46" s="34">
        <v>157</v>
      </c>
      <c r="K46" s="61">
        <f t="shared" si="2"/>
        <v>157</v>
      </c>
      <c r="L46" s="41"/>
      <c r="M46" s="32"/>
      <c r="N46" s="32"/>
      <c r="O46" s="32"/>
      <c r="P46" s="32"/>
      <c r="Q46" s="32"/>
      <c r="R46" s="32"/>
      <c r="S46" s="32"/>
      <c r="T46" s="32"/>
      <c r="U46" s="32"/>
      <c r="V46" s="32"/>
      <c r="W46" s="32"/>
      <c r="X46" s="32"/>
      <c r="Y46" s="32"/>
      <c r="Z46" s="90"/>
      <c r="AA46" s="62">
        <f t="shared" si="3"/>
        <v>0</v>
      </c>
      <c r="AB46" s="32"/>
      <c r="AC46" s="32">
        <v>3</v>
      </c>
      <c r="AD46" s="32"/>
      <c r="AE46" s="36"/>
      <c r="AF46" s="32"/>
      <c r="AG46" s="32"/>
      <c r="AH46" s="34"/>
      <c r="AI46" s="41"/>
      <c r="AJ46" s="33"/>
      <c r="AK46" s="36"/>
    </row>
    <row r="47" spans="1:37" x14ac:dyDescent="0.25">
      <c r="A47" s="32" t="s">
        <v>349</v>
      </c>
      <c r="B47" s="32" t="s">
        <v>519</v>
      </c>
      <c r="C47" s="32" t="s">
        <v>519</v>
      </c>
      <c r="D47" s="32" t="s">
        <v>80</v>
      </c>
      <c r="E47" s="32" t="s">
        <v>424</v>
      </c>
      <c r="F47" s="32" t="s">
        <v>423</v>
      </c>
      <c r="G47" s="32">
        <v>8</v>
      </c>
      <c r="H47" s="32" t="s">
        <v>501</v>
      </c>
      <c r="I47" s="32" t="s">
        <v>483</v>
      </c>
      <c r="J47" s="34">
        <v>125</v>
      </c>
      <c r="K47" s="61">
        <f t="shared" si="2"/>
        <v>125</v>
      </c>
      <c r="L47" s="41"/>
      <c r="M47" s="32"/>
      <c r="N47" s="32"/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32"/>
      <c r="Z47" s="90"/>
      <c r="AA47" s="62">
        <f t="shared" si="3"/>
        <v>0</v>
      </c>
      <c r="AB47" s="32"/>
      <c r="AC47" s="32">
        <v>2</v>
      </c>
      <c r="AD47" s="32"/>
      <c r="AE47" s="36"/>
      <c r="AF47" s="32"/>
      <c r="AG47" s="32"/>
      <c r="AH47" s="34"/>
      <c r="AI47" s="41"/>
      <c r="AJ47" s="33"/>
      <c r="AK47" s="36"/>
    </row>
    <row r="48" spans="1:37" ht="30" x14ac:dyDescent="0.25">
      <c r="A48" s="32" t="s">
        <v>350</v>
      </c>
      <c r="B48" s="32" t="s">
        <v>520</v>
      </c>
      <c r="C48" s="32" t="s">
        <v>520</v>
      </c>
      <c r="D48" s="32" t="s">
        <v>80</v>
      </c>
      <c r="E48" s="32" t="s">
        <v>425</v>
      </c>
      <c r="F48" s="32" t="s">
        <v>424</v>
      </c>
      <c r="G48" s="32">
        <v>8</v>
      </c>
      <c r="H48" s="32" t="s">
        <v>501</v>
      </c>
      <c r="I48" s="32" t="s">
        <v>483</v>
      </c>
      <c r="J48" s="34">
        <v>91</v>
      </c>
      <c r="K48" s="61">
        <f t="shared" si="2"/>
        <v>91</v>
      </c>
      <c r="L48" s="41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90"/>
      <c r="AA48" s="62">
        <f t="shared" si="3"/>
        <v>0</v>
      </c>
      <c r="AB48" s="32"/>
      <c r="AC48" s="32">
        <v>2</v>
      </c>
      <c r="AD48" s="32"/>
      <c r="AE48" s="36"/>
      <c r="AF48" s="32"/>
      <c r="AG48" s="32"/>
      <c r="AH48" s="34"/>
      <c r="AI48" s="41"/>
      <c r="AJ48" s="33"/>
      <c r="AK48" s="36"/>
    </row>
    <row r="49" spans="1:37" ht="45" x14ac:dyDescent="0.25">
      <c r="A49" s="32" t="s">
        <v>351</v>
      </c>
      <c r="B49" s="32" t="s">
        <v>521</v>
      </c>
      <c r="C49" s="32" t="s">
        <v>521</v>
      </c>
      <c r="D49" s="32" t="s">
        <v>80</v>
      </c>
      <c r="E49" s="32" t="s">
        <v>426</v>
      </c>
      <c r="F49" s="32" t="s">
        <v>427</v>
      </c>
      <c r="G49" s="32">
        <v>8</v>
      </c>
      <c r="H49" s="32" t="s">
        <v>501</v>
      </c>
      <c r="I49" s="32" t="s">
        <v>483</v>
      </c>
      <c r="J49" s="34">
        <v>183</v>
      </c>
      <c r="K49" s="61">
        <f t="shared" si="2"/>
        <v>183</v>
      </c>
      <c r="L49" s="41"/>
      <c r="M49" s="32"/>
      <c r="N49" s="32"/>
      <c r="O49" s="32"/>
      <c r="P49" s="32"/>
      <c r="Q49" s="32"/>
      <c r="R49" s="32"/>
      <c r="S49" s="32"/>
      <c r="T49" s="32"/>
      <c r="U49" s="32"/>
      <c r="V49" s="32"/>
      <c r="W49" s="32"/>
      <c r="X49" s="32"/>
      <c r="Y49" s="32"/>
      <c r="Z49" s="90"/>
      <c r="AA49" s="62">
        <f t="shared" si="3"/>
        <v>0</v>
      </c>
      <c r="AB49" s="32"/>
      <c r="AC49" s="32">
        <v>3</v>
      </c>
      <c r="AD49" s="32"/>
      <c r="AE49" s="36"/>
      <c r="AF49" s="32"/>
      <c r="AG49" s="32"/>
      <c r="AH49" s="34"/>
      <c r="AI49" s="41"/>
      <c r="AJ49" s="33"/>
      <c r="AK49" s="36"/>
    </row>
    <row r="50" spans="1:37" ht="30" x14ac:dyDescent="0.25">
      <c r="A50" s="32" t="s">
        <v>352</v>
      </c>
      <c r="B50" s="32" t="s">
        <v>522</v>
      </c>
      <c r="C50" s="32" t="s">
        <v>522</v>
      </c>
      <c r="D50" s="32" t="s">
        <v>80</v>
      </c>
      <c r="E50" s="32" t="s">
        <v>428</v>
      </c>
      <c r="F50" s="32" t="s">
        <v>426</v>
      </c>
      <c r="G50" s="32">
        <v>8</v>
      </c>
      <c r="H50" s="32" t="s">
        <v>501</v>
      </c>
      <c r="I50" s="32" t="s">
        <v>483</v>
      </c>
      <c r="J50" s="34">
        <v>255</v>
      </c>
      <c r="K50" s="61">
        <f t="shared" si="2"/>
        <v>255</v>
      </c>
      <c r="L50" s="41"/>
      <c r="M50" s="32"/>
      <c r="N50" s="32"/>
      <c r="O50" s="32"/>
      <c r="P50" s="32"/>
      <c r="Q50" s="32"/>
      <c r="R50" s="32"/>
      <c r="S50" s="32"/>
      <c r="T50" s="32"/>
      <c r="U50" s="32"/>
      <c r="V50" s="32"/>
      <c r="W50" s="32"/>
      <c r="X50" s="32"/>
      <c r="Y50" s="32"/>
      <c r="Z50" s="90"/>
      <c r="AA50" s="62">
        <f t="shared" si="3"/>
        <v>0</v>
      </c>
      <c r="AB50" s="32"/>
      <c r="AC50" s="32">
        <v>2</v>
      </c>
      <c r="AD50" s="32"/>
      <c r="AE50" s="36"/>
      <c r="AF50" s="32"/>
      <c r="AG50" s="32"/>
      <c r="AH50" s="34"/>
      <c r="AI50" s="41"/>
      <c r="AJ50" s="33"/>
      <c r="AK50" s="36"/>
    </row>
    <row r="51" spans="1:37" x14ac:dyDescent="0.25">
      <c r="A51" s="32" t="s">
        <v>353</v>
      </c>
      <c r="B51" s="32" t="s">
        <v>508</v>
      </c>
      <c r="C51" s="32" t="s">
        <v>508</v>
      </c>
      <c r="D51" s="32" t="s">
        <v>80</v>
      </c>
      <c r="E51" s="32" t="s">
        <v>429</v>
      </c>
      <c r="F51" s="32" t="s">
        <v>428</v>
      </c>
      <c r="G51" s="32">
        <v>8</v>
      </c>
      <c r="H51" s="32" t="s">
        <v>501</v>
      </c>
      <c r="I51" s="32" t="s">
        <v>483</v>
      </c>
      <c r="J51" s="34">
        <v>292</v>
      </c>
      <c r="K51" s="61">
        <f t="shared" si="2"/>
        <v>292</v>
      </c>
      <c r="L51" s="41"/>
      <c r="M51" s="32"/>
      <c r="N51" s="32"/>
      <c r="O51" s="32"/>
      <c r="P51" s="32"/>
      <c r="Q51" s="32"/>
      <c r="R51" s="32"/>
      <c r="S51" s="32"/>
      <c r="T51" s="32"/>
      <c r="U51" s="32"/>
      <c r="V51" s="32"/>
      <c r="W51" s="32"/>
      <c r="X51" s="32"/>
      <c r="Y51" s="32"/>
      <c r="Z51" s="90"/>
      <c r="AA51" s="62">
        <f t="shared" si="3"/>
        <v>0</v>
      </c>
      <c r="AB51" s="32"/>
      <c r="AC51" s="32">
        <v>3</v>
      </c>
      <c r="AD51" s="32"/>
      <c r="AE51" s="36"/>
      <c r="AF51" s="32"/>
      <c r="AG51" s="32"/>
      <c r="AH51" s="34"/>
      <c r="AI51" s="41"/>
      <c r="AJ51" s="33"/>
      <c r="AK51" s="36"/>
    </row>
    <row r="52" spans="1:37" x14ac:dyDescent="0.25">
      <c r="A52" s="32" t="s">
        <v>354</v>
      </c>
      <c r="B52" s="32" t="s">
        <v>514</v>
      </c>
      <c r="C52" s="32" t="s">
        <v>514</v>
      </c>
      <c r="D52" s="32" t="s">
        <v>80</v>
      </c>
      <c r="E52" s="32" t="s">
        <v>430</v>
      </c>
      <c r="F52" s="32" t="s">
        <v>429</v>
      </c>
      <c r="G52" s="32">
        <v>8</v>
      </c>
      <c r="H52" s="32" t="s">
        <v>500</v>
      </c>
      <c r="I52" s="32" t="s">
        <v>483</v>
      </c>
      <c r="J52" s="34">
        <v>80</v>
      </c>
      <c r="K52" s="61">
        <f t="shared" si="2"/>
        <v>80</v>
      </c>
      <c r="L52" s="41"/>
      <c r="M52" s="32"/>
      <c r="N52" s="32"/>
      <c r="O52" s="32"/>
      <c r="P52" s="32"/>
      <c r="Q52" s="32"/>
      <c r="R52" s="32"/>
      <c r="S52" s="32"/>
      <c r="T52" s="32"/>
      <c r="U52" s="32"/>
      <c r="V52" s="32"/>
      <c r="W52" s="32"/>
      <c r="X52" s="32"/>
      <c r="Y52" s="32"/>
      <c r="Z52" s="90"/>
      <c r="AA52" s="62">
        <f t="shared" si="3"/>
        <v>0</v>
      </c>
      <c r="AB52" s="32"/>
      <c r="AC52" s="32">
        <v>3</v>
      </c>
      <c r="AD52" s="32"/>
      <c r="AE52" s="36"/>
      <c r="AF52" s="32"/>
      <c r="AG52" s="32"/>
      <c r="AH52" s="34"/>
      <c r="AI52" s="41"/>
      <c r="AJ52" s="33"/>
      <c r="AK52" s="36"/>
    </row>
    <row r="53" spans="1:37" x14ac:dyDescent="0.25">
      <c r="A53" s="32" t="s">
        <v>355</v>
      </c>
      <c r="B53" s="32" t="s">
        <v>155</v>
      </c>
      <c r="C53" s="32" t="s">
        <v>582</v>
      </c>
      <c r="D53" s="32" t="s">
        <v>80</v>
      </c>
      <c r="E53" s="32" t="s">
        <v>431</v>
      </c>
      <c r="F53" s="32" t="s">
        <v>414</v>
      </c>
      <c r="G53" s="32">
        <v>8</v>
      </c>
      <c r="H53" s="32" t="s">
        <v>500</v>
      </c>
      <c r="I53" s="32" t="s">
        <v>484</v>
      </c>
      <c r="J53" s="34">
        <v>227</v>
      </c>
      <c r="K53" s="61">
        <f t="shared" si="2"/>
        <v>227</v>
      </c>
      <c r="L53" s="41"/>
      <c r="M53" s="32"/>
      <c r="N53" s="32"/>
      <c r="O53" s="32"/>
      <c r="P53" s="32"/>
      <c r="Q53" s="32"/>
      <c r="R53" s="32"/>
      <c r="S53" s="32"/>
      <c r="T53" s="32"/>
      <c r="U53" s="32"/>
      <c r="V53" s="32"/>
      <c r="W53" s="32"/>
      <c r="X53" s="32"/>
      <c r="Y53" s="32"/>
      <c r="Z53" s="90"/>
      <c r="AA53" s="62">
        <f t="shared" si="3"/>
        <v>0</v>
      </c>
      <c r="AB53" s="32"/>
      <c r="AC53" s="32">
        <v>1</v>
      </c>
      <c r="AD53" s="32"/>
      <c r="AE53" s="36"/>
      <c r="AF53" s="32"/>
      <c r="AG53" s="32"/>
      <c r="AH53" s="34"/>
      <c r="AI53" s="41"/>
      <c r="AJ53" s="33"/>
      <c r="AK53" s="36"/>
    </row>
    <row r="54" spans="1:37" x14ac:dyDescent="0.25">
      <c r="A54" s="32" t="s">
        <v>356</v>
      </c>
      <c r="B54" s="32" t="s">
        <v>508</v>
      </c>
      <c r="C54" s="32" t="s">
        <v>508</v>
      </c>
      <c r="D54" s="32" t="s">
        <v>80</v>
      </c>
      <c r="E54" s="32" t="s">
        <v>432</v>
      </c>
      <c r="F54" s="32" t="s">
        <v>433</v>
      </c>
      <c r="G54" s="32">
        <v>8</v>
      </c>
      <c r="H54" s="32" t="s">
        <v>500</v>
      </c>
      <c r="I54" s="32" t="s">
        <v>483</v>
      </c>
      <c r="J54" s="34">
        <v>145</v>
      </c>
      <c r="K54" s="61">
        <f t="shared" si="2"/>
        <v>145</v>
      </c>
      <c r="L54" s="41"/>
      <c r="M54" s="32"/>
      <c r="N54" s="32"/>
      <c r="O54" s="32"/>
      <c r="P54" s="32"/>
      <c r="Q54" s="32"/>
      <c r="R54" s="32"/>
      <c r="S54" s="32"/>
      <c r="T54" s="32"/>
      <c r="U54" s="32"/>
      <c r="V54" s="32"/>
      <c r="W54" s="32"/>
      <c r="X54" s="32"/>
      <c r="Y54" s="32"/>
      <c r="Z54" s="90"/>
      <c r="AA54" s="62">
        <f t="shared" si="3"/>
        <v>0</v>
      </c>
      <c r="AB54" s="32"/>
      <c r="AC54" s="32">
        <v>2</v>
      </c>
      <c r="AD54" s="32"/>
      <c r="AE54" s="36"/>
      <c r="AF54" s="32"/>
      <c r="AG54" s="32"/>
      <c r="AH54" s="34"/>
      <c r="AI54" s="41"/>
      <c r="AJ54" s="33"/>
      <c r="AK54" s="36"/>
    </row>
    <row r="55" spans="1:37" ht="30" x14ac:dyDescent="0.25">
      <c r="A55" s="32" t="s">
        <v>357</v>
      </c>
      <c r="B55" s="32" t="s">
        <v>523</v>
      </c>
      <c r="C55" s="32" t="s">
        <v>584</v>
      </c>
      <c r="D55" s="32" t="s">
        <v>80</v>
      </c>
      <c r="E55" s="32" t="s">
        <v>434</v>
      </c>
      <c r="F55" s="32" t="s">
        <v>432</v>
      </c>
      <c r="G55" s="32">
        <v>8</v>
      </c>
      <c r="H55" s="32" t="s">
        <v>502</v>
      </c>
      <c r="I55" s="32" t="s">
        <v>483</v>
      </c>
      <c r="J55" s="34">
        <v>270</v>
      </c>
      <c r="K55" s="61">
        <f t="shared" si="2"/>
        <v>270</v>
      </c>
      <c r="L55" s="41"/>
      <c r="M55" s="32"/>
      <c r="N55" s="32"/>
      <c r="O55" s="32"/>
      <c r="P55" s="32"/>
      <c r="Q55" s="32"/>
      <c r="R55" s="32"/>
      <c r="S55" s="32"/>
      <c r="T55" s="32"/>
      <c r="U55" s="32"/>
      <c r="V55" s="32"/>
      <c r="W55" s="32"/>
      <c r="X55" s="32"/>
      <c r="Y55" s="32"/>
      <c r="Z55" s="90"/>
      <c r="AA55" s="62">
        <f t="shared" si="3"/>
        <v>0</v>
      </c>
      <c r="AB55" s="32"/>
      <c r="AC55" s="32">
        <v>3</v>
      </c>
      <c r="AD55" s="32"/>
      <c r="AE55" s="36"/>
      <c r="AF55" s="32"/>
      <c r="AG55" s="32"/>
      <c r="AH55" s="34"/>
      <c r="AI55" s="41"/>
      <c r="AJ55" s="33"/>
      <c r="AK55" s="36"/>
    </row>
    <row r="56" spans="1:37" ht="30" x14ac:dyDescent="0.25">
      <c r="A56" s="32" t="s">
        <v>358</v>
      </c>
      <c r="B56" s="32" t="s">
        <v>524</v>
      </c>
      <c r="C56" s="32" t="s">
        <v>524</v>
      </c>
      <c r="D56" s="32" t="s">
        <v>80</v>
      </c>
      <c r="E56" s="32" t="s">
        <v>435</v>
      </c>
      <c r="F56" s="32" t="s">
        <v>436</v>
      </c>
      <c r="G56" s="32">
        <v>8</v>
      </c>
      <c r="H56" s="32" t="s">
        <v>496</v>
      </c>
      <c r="I56" s="32" t="s">
        <v>483</v>
      </c>
      <c r="J56" s="34">
        <v>128</v>
      </c>
      <c r="K56" s="61">
        <f t="shared" si="2"/>
        <v>128</v>
      </c>
      <c r="L56" s="41"/>
      <c r="M56" s="32"/>
      <c r="N56" s="32"/>
      <c r="O56" s="32"/>
      <c r="P56" s="32"/>
      <c r="Q56" s="32"/>
      <c r="R56" s="32"/>
      <c r="S56" s="32"/>
      <c r="T56" s="32"/>
      <c r="U56" s="32"/>
      <c r="V56" s="32"/>
      <c r="W56" s="32"/>
      <c r="X56" s="32"/>
      <c r="Y56" s="32"/>
      <c r="Z56" s="90"/>
      <c r="AA56" s="62">
        <f t="shared" si="3"/>
        <v>0</v>
      </c>
      <c r="AB56" s="32"/>
      <c r="AC56" s="32">
        <v>2</v>
      </c>
      <c r="AD56" s="32"/>
      <c r="AE56" s="36"/>
      <c r="AF56" s="32"/>
      <c r="AG56" s="32"/>
      <c r="AH56" s="34"/>
      <c r="AI56" s="41"/>
      <c r="AJ56" s="33"/>
      <c r="AK56" s="36"/>
    </row>
    <row r="57" spans="1:37" x14ac:dyDescent="0.25">
      <c r="A57" s="32" t="s">
        <v>359</v>
      </c>
      <c r="B57" s="32" t="s">
        <v>317</v>
      </c>
      <c r="C57" s="32" t="s">
        <v>317</v>
      </c>
      <c r="D57" s="32" t="s">
        <v>224</v>
      </c>
      <c r="E57" s="32" t="s">
        <v>437</v>
      </c>
      <c r="F57" s="32" t="s">
        <v>438</v>
      </c>
      <c r="G57" s="32">
        <v>8</v>
      </c>
      <c r="H57" s="32" t="s">
        <v>502</v>
      </c>
      <c r="I57" s="32" t="s">
        <v>483</v>
      </c>
      <c r="J57" s="34">
        <v>215</v>
      </c>
      <c r="K57" s="61">
        <f t="shared" si="2"/>
        <v>215</v>
      </c>
      <c r="L57" s="41"/>
      <c r="M57" s="32"/>
      <c r="N57" s="32"/>
      <c r="O57" s="32"/>
      <c r="P57" s="32"/>
      <c r="Q57" s="32"/>
      <c r="R57" s="32"/>
      <c r="S57" s="32"/>
      <c r="T57" s="32"/>
      <c r="U57" s="32"/>
      <c r="V57" s="32"/>
      <c r="W57" s="32"/>
      <c r="X57" s="32"/>
      <c r="Y57" s="32"/>
      <c r="Z57" s="90"/>
      <c r="AA57" s="62">
        <f t="shared" si="3"/>
        <v>0</v>
      </c>
      <c r="AB57" s="32"/>
      <c r="AC57" s="32">
        <v>0</v>
      </c>
      <c r="AD57" s="32"/>
      <c r="AE57" s="36"/>
      <c r="AF57" s="32"/>
      <c r="AG57" s="32"/>
      <c r="AH57" s="34"/>
      <c r="AI57" s="41"/>
      <c r="AJ57" s="33"/>
      <c r="AK57" s="36"/>
    </row>
    <row r="58" spans="1:37" x14ac:dyDescent="0.25">
      <c r="A58" s="32" t="s">
        <v>360</v>
      </c>
      <c r="B58" s="32" t="s">
        <v>508</v>
      </c>
      <c r="C58" s="32" t="s">
        <v>508</v>
      </c>
      <c r="D58" s="32" t="s">
        <v>80</v>
      </c>
      <c r="E58" s="32" t="s">
        <v>439</v>
      </c>
      <c r="F58" s="32" t="s">
        <v>440</v>
      </c>
      <c r="G58" s="32">
        <v>8</v>
      </c>
      <c r="H58" s="32" t="s">
        <v>503</v>
      </c>
      <c r="I58" s="32" t="s">
        <v>483</v>
      </c>
      <c r="J58" s="34">
        <v>173</v>
      </c>
      <c r="K58" s="61">
        <f t="shared" si="2"/>
        <v>173</v>
      </c>
      <c r="L58" s="41"/>
      <c r="M58" s="32"/>
      <c r="N58" s="32"/>
      <c r="O58" s="32"/>
      <c r="P58" s="32"/>
      <c r="Q58" s="32"/>
      <c r="R58" s="32"/>
      <c r="S58" s="32"/>
      <c r="T58" s="32"/>
      <c r="U58" s="32"/>
      <c r="V58" s="32"/>
      <c r="W58" s="32"/>
      <c r="X58" s="32"/>
      <c r="Y58" s="32"/>
      <c r="Z58" s="90"/>
      <c r="AA58" s="62">
        <f t="shared" si="3"/>
        <v>0</v>
      </c>
      <c r="AB58" s="32"/>
      <c r="AC58" s="32">
        <v>1</v>
      </c>
      <c r="AD58" s="32"/>
      <c r="AE58" s="36"/>
      <c r="AF58" s="32"/>
      <c r="AG58" s="32"/>
      <c r="AH58" s="34"/>
      <c r="AI58" s="41"/>
      <c r="AJ58" s="33"/>
      <c r="AK58" s="36"/>
    </row>
    <row r="59" spans="1:37" ht="30" x14ac:dyDescent="0.25">
      <c r="A59" s="32" t="s">
        <v>361</v>
      </c>
      <c r="B59" s="32" t="s">
        <v>525</v>
      </c>
      <c r="C59" s="32" t="s">
        <v>218</v>
      </c>
      <c r="D59" s="32" t="s">
        <v>223</v>
      </c>
      <c r="E59" s="32" t="s">
        <v>405</v>
      </c>
      <c r="F59" s="32" t="s">
        <v>441</v>
      </c>
      <c r="G59" s="32">
        <v>8</v>
      </c>
      <c r="H59" s="32" t="s">
        <v>494</v>
      </c>
      <c r="I59" s="32" t="s">
        <v>483</v>
      </c>
      <c r="J59" s="34">
        <v>325</v>
      </c>
      <c r="K59" s="61">
        <f t="shared" si="2"/>
        <v>325</v>
      </c>
      <c r="L59" s="41"/>
      <c r="M59" s="32"/>
      <c r="N59" s="32"/>
      <c r="O59" s="32"/>
      <c r="P59" s="32"/>
      <c r="Q59" s="32"/>
      <c r="R59" s="32"/>
      <c r="S59" s="32"/>
      <c r="T59" s="32"/>
      <c r="U59" s="32"/>
      <c r="V59" s="32"/>
      <c r="W59" s="32"/>
      <c r="X59" s="32"/>
      <c r="Y59" s="32"/>
      <c r="Z59" s="90"/>
      <c r="AA59" s="62">
        <f t="shared" si="3"/>
        <v>0</v>
      </c>
      <c r="AB59" s="32"/>
      <c r="AC59" s="32">
        <v>4</v>
      </c>
      <c r="AD59" s="32"/>
      <c r="AE59" s="36"/>
      <c r="AF59" s="32"/>
      <c r="AG59" s="32"/>
      <c r="AH59" s="34"/>
      <c r="AI59" s="41"/>
      <c r="AJ59" s="33"/>
      <c r="AK59" s="36"/>
    </row>
    <row r="60" spans="1:37" x14ac:dyDescent="0.25">
      <c r="A60" s="32" t="s">
        <v>288</v>
      </c>
      <c r="B60" s="32" t="s">
        <v>317</v>
      </c>
      <c r="C60" s="32" t="s">
        <v>317</v>
      </c>
      <c r="D60" s="32" t="s">
        <v>80</v>
      </c>
      <c r="E60" s="32" t="s">
        <v>440</v>
      </c>
      <c r="F60" s="32" t="s">
        <v>405</v>
      </c>
      <c r="G60" s="32">
        <v>8</v>
      </c>
      <c r="H60" s="32" t="s">
        <v>503</v>
      </c>
      <c r="I60" s="32" t="s">
        <v>483</v>
      </c>
      <c r="J60" s="34">
        <v>124</v>
      </c>
      <c r="K60" s="61">
        <f t="shared" si="2"/>
        <v>124</v>
      </c>
      <c r="L60" s="41"/>
      <c r="M60" s="32"/>
      <c r="N60" s="32"/>
      <c r="O60" s="32"/>
      <c r="P60" s="32"/>
      <c r="Q60" s="32"/>
      <c r="R60" s="32"/>
      <c r="S60" s="32"/>
      <c r="T60" s="32"/>
      <c r="U60" s="32"/>
      <c r="V60" s="32"/>
      <c r="W60" s="32"/>
      <c r="X60" s="32"/>
      <c r="Y60" s="32"/>
      <c r="Z60" s="90"/>
      <c r="AA60" s="62">
        <f t="shared" si="3"/>
        <v>0</v>
      </c>
      <c r="AB60" s="32"/>
      <c r="AC60" s="32">
        <v>0</v>
      </c>
      <c r="AD60" s="32"/>
      <c r="AE60" s="36"/>
      <c r="AF60" s="32"/>
      <c r="AG60" s="32"/>
      <c r="AH60" s="34"/>
      <c r="AI60" s="41"/>
      <c r="AJ60" s="33"/>
      <c r="AK60" s="36"/>
    </row>
    <row r="61" spans="1:37" x14ac:dyDescent="0.25">
      <c r="A61" s="32" t="s">
        <v>289</v>
      </c>
      <c r="B61" s="32" t="s">
        <v>508</v>
      </c>
      <c r="C61" s="32" t="s">
        <v>508</v>
      </c>
      <c r="D61" s="32" t="s">
        <v>224</v>
      </c>
      <c r="E61" s="32" t="s">
        <v>442</v>
      </c>
      <c r="F61" s="32" t="s">
        <v>443</v>
      </c>
      <c r="G61" s="32">
        <v>8</v>
      </c>
      <c r="H61" s="32" t="s">
        <v>503</v>
      </c>
      <c r="I61" s="32" t="s">
        <v>483</v>
      </c>
      <c r="J61" s="34">
        <v>212</v>
      </c>
      <c r="K61" s="61">
        <f t="shared" si="2"/>
        <v>212</v>
      </c>
      <c r="L61" s="41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90"/>
      <c r="AA61" s="62">
        <f t="shared" si="3"/>
        <v>0</v>
      </c>
      <c r="AB61" s="32"/>
      <c r="AC61" s="32">
        <v>3</v>
      </c>
      <c r="AD61" s="32"/>
      <c r="AE61" s="36"/>
      <c r="AF61" s="32"/>
      <c r="AG61" s="32"/>
      <c r="AH61" s="34"/>
      <c r="AI61" s="41"/>
      <c r="AJ61" s="33"/>
      <c r="AK61" s="36"/>
    </row>
    <row r="62" spans="1:37" x14ac:dyDescent="0.25">
      <c r="A62" s="32" t="s">
        <v>290</v>
      </c>
      <c r="B62" s="32" t="s">
        <v>317</v>
      </c>
      <c r="C62" s="32" t="s">
        <v>317</v>
      </c>
      <c r="D62" s="32" t="s">
        <v>80</v>
      </c>
      <c r="E62" s="32" t="s">
        <v>443</v>
      </c>
      <c r="F62" s="32" t="s">
        <v>439</v>
      </c>
      <c r="G62" s="32">
        <v>8</v>
      </c>
      <c r="H62" s="32" t="s">
        <v>503</v>
      </c>
      <c r="I62" s="32" t="s">
        <v>483</v>
      </c>
      <c r="J62" s="34">
        <v>204</v>
      </c>
      <c r="K62" s="61">
        <f t="shared" si="2"/>
        <v>204</v>
      </c>
      <c r="L62" s="41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90"/>
      <c r="AA62" s="62">
        <f t="shared" si="3"/>
        <v>0</v>
      </c>
      <c r="AB62" s="32"/>
      <c r="AC62" s="32">
        <v>3</v>
      </c>
      <c r="AD62" s="32"/>
      <c r="AE62" s="36"/>
      <c r="AF62" s="32"/>
      <c r="AG62" s="32"/>
      <c r="AH62" s="34"/>
      <c r="AI62" s="41"/>
      <c r="AJ62" s="33"/>
      <c r="AK62" s="36"/>
    </row>
    <row r="63" spans="1:37" x14ac:dyDescent="0.25">
      <c r="A63" s="32" t="s">
        <v>291</v>
      </c>
      <c r="B63" s="32" t="s">
        <v>218</v>
      </c>
      <c r="C63" s="32" t="s">
        <v>218</v>
      </c>
      <c r="D63" s="32" t="s">
        <v>318</v>
      </c>
      <c r="E63" s="32" t="s">
        <v>444</v>
      </c>
      <c r="F63" s="32" t="s">
        <v>445</v>
      </c>
      <c r="G63" s="32">
        <v>8</v>
      </c>
      <c r="H63" s="32" t="s">
        <v>494</v>
      </c>
      <c r="I63" s="32" t="s">
        <v>485</v>
      </c>
      <c r="J63" s="34">
        <v>108</v>
      </c>
      <c r="K63" s="61">
        <f t="shared" si="2"/>
        <v>108</v>
      </c>
      <c r="L63" s="41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90"/>
      <c r="AA63" s="62">
        <f t="shared" si="3"/>
        <v>0</v>
      </c>
      <c r="AB63" s="32"/>
      <c r="AC63" s="32">
        <v>4</v>
      </c>
      <c r="AD63" s="32"/>
      <c r="AE63" s="36"/>
      <c r="AF63" s="32"/>
      <c r="AG63" s="32"/>
      <c r="AH63" s="34"/>
      <c r="AI63" s="41"/>
      <c r="AJ63" s="33"/>
      <c r="AK63" s="36"/>
    </row>
    <row r="64" spans="1:37" x14ac:dyDescent="0.25">
      <c r="A64" s="32" t="s">
        <v>292</v>
      </c>
      <c r="B64" s="32" t="s">
        <v>317</v>
      </c>
      <c r="C64" s="32" t="s">
        <v>317</v>
      </c>
      <c r="D64" s="32" t="s">
        <v>80</v>
      </c>
      <c r="E64" s="32" t="s">
        <v>446</v>
      </c>
      <c r="F64" s="32" t="s">
        <v>447</v>
      </c>
      <c r="G64" s="32">
        <v>8</v>
      </c>
      <c r="H64" s="32" t="s">
        <v>504</v>
      </c>
      <c r="I64" s="32" t="s">
        <v>486</v>
      </c>
      <c r="J64" s="34">
        <v>138</v>
      </c>
      <c r="K64" s="61">
        <f t="shared" si="2"/>
        <v>138</v>
      </c>
      <c r="L64" s="41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90"/>
      <c r="AA64" s="62">
        <f t="shared" si="3"/>
        <v>0</v>
      </c>
      <c r="AB64" s="32"/>
      <c r="AC64" s="32"/>
      <c r="AD64" s="32"/>
      <c r="AE64" s="36"/>
      <c r="AF64" s="32"/>
      <c r="AG64" s="32"/>
      <c r="AH64" s="34"/>
      <c r="AI64" s="41"/>
      <c r="AJ64" s="33"/>
      <c r="AK64" s="36"/>
    </row>
    <row r="65" spans="1:37" x14ac:dyDescent="0.25">
      <c r="A65" s="32" t="s">
        <v>293</v>
      </c>
      <c r="B65" s="32" t="s">
        <v>317</v>
      </c>
      <c r="C65" s="32" t="s">
        <v>317</v>
      </c>
      <c r="D65" s="32" t="s">
        <v>80</v>
      </c>
      <c r="E65" s="32" t="s">
        <v>448</v>
      </c>
      <c r="F65" s="32" t="s">
        <v>449</v>
      </c>
      <c r="G65" s="32">
        <v>8</v>
      </c>
      <c r="H65" s="32" t="s">
        <v>504</v>
      </c>
      <c r="I65" s="32" t="s">
        <v>486</v>
      </c>
      <c r="J65" s="34">
        <v>142</v>
      </c>
      <c r="K65" s="61">
        <f t="shared" si="2"/>
        <v>142</v>
      </c>
      <c r="L65" s="41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90"/>
      <c r="AA65" s="62">
        <f t="shared" si="3"/>
        <v>0</v>
      </c>
      <c r="AB65" s="32"/>
      <c r="AC65" s="32"/>
      <c r="AD65" s="32"/>
      <c r="AE65" s="36"/>
      <c r="AF65" s="32"/>
      <c r="AG65" s="32"/>
      <c r="AH65" s="34"/>
      <c r="AI65" s="41"/>
      <c r="AJ65" s="33"/>
      <c r="AK65" s="36"/>
    </row>
    <row r="66" spans="1:37" ht="30" x14ac:dyDescent="0.25">
      <c r="A66" s="32" t="s">
        <v>294</v>
      </c>
      <c r="B66" s="32" t="s">
        <v>317</v>
      </c>
      <c r="C66" s="32" t="s">
        <v>317</v>
      </c>
      <c r="D66" s="32" t="s">
        <v>224</v>
      </c>
      <c r="E66" s="32" t="s">
        <v>450</v>
      </c>
      <c r="F66" s="32" t="s">
        <v>415</v>
      </c>
      <c r="G66" s="32">
        <v>8</v>
      </c>
      <c r="H66" s="32" t="s">
        <v>504</v>
      </c>
      <c r="I66" s="32" t="s">
        <v>487</v>
      </c>
      <c r="J66" s="34">
        <v>153</v>
      </c>
      <c r="K66" s="61">
        <f t="shared" si="2"/>
        <v>153</v>
      </c>
      <c r="L66" s="41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90"/>
      <c r="AA66" s="62">
        <f t="shared" si="3"/>
        <v>0</v>
      </c>
      <c r="AB66" s="32"/>
      <c r="AC66" s="32">
        <v>0</v>
      </c>
      <c r="AD66" s="32"/>
      <c r="AE66" s="36"/>
      <c r="AF66" s="32"/>
      <c r="AG66" s="32"/>
      <c r="AH66" s="34"/>
      <c r="AI66" s="41"/>
      <c r="AJ66" s="33"/>
      <c r="AK66" s="36"/>
    </row>
    <row r="67" spans="1:37" x14ac:dyDescent="0.25">
      <c r="A67" s="32" t="s">
        <v>295</v>
      </c>
      <c r="B67" s="32" t="s">
        <v>317</v>
      </c>
      <c r="C67" s="32" t="s">
        <v>317</v>
      </c>
      <c r="D67" s="32" t="s">
        <v>80</v>
      </c>
      <c r="E67" s="32" t="s">
        <v>449</v>
      </c>
      <c r="F67" s="32" t="s">
        <v>450</v>
      </c>
      <c r="G67" s="32">
        <v>8</v>
      </c>
      <c r="H67" s="32" t="s">
        <v>504</v>
      </c>
      <c r="I67" s="32" t="s">
        <v>486</v>
      </c>
      <c r="J67" s="34">
        <v>159</v>
      </c>
      <c r="K67" s="61">
        <f t="shared" si="2"/>
        <v>159</v>
      </c>
      <c r="L67" s="41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90"/>
      <c r="AA67" s="62">
        <f t="shared" si="3"/>
        <v>0</v>
      </c>
      <c r="AB67" s="32"/>
      <c r="AC67" s="32">
        <v>1</v>
      </c>
      <c r="AD67" s="32"/>
      <c r="AE67" s="36"/>
      <c r="AF67" s="32"/>
      <c r="AG67" s="32"/>
      <c r="AH67" s="34"/>
      <c r="AI67" s="41"/>
      <c r="AJ67" s="33"/>
      <c r="AK67" s="36"/>
    </row>
    <row r="68" spans="1:37" x14ac:dyDescent="0.25">
      <c r="A68" s="32" t="s">
        <v>296</v>
      </c>
      <c r="B68" s="32" t="s">
        <v>317</v>
      </c>
      <c r="C68" s="32" t="s">
        <v>317</v>
      </c>
      <c r="D68" s="32" t="s">
        <v>80</v>
      </c>
      <c r="E68" s="32" t="s">
        <v>447</v>
      </c>
      <c r="F68" s="32" t="s">
        <v>451</v>
      </c>
      <c r="G68" s="32">
        <v>8</v>
      </c>
      <c r="H68" s="32" t="s">
        <v>504</v>
      </c>
      <c r="I68" s="32" t="s">
        <v>486</v>
      </c>
      <c r="J68" s="34">
        <v>139</v>
      </c>
      <c r="K68" s="61">
        <f t="shared" si="2"/>
        <v>139</v>
      </c>
      <c r="L68" s="41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90"/>
      <c r="AA68" s="62">
        <f t="shared" si="3"/>
        <v>0</v>
      </c>
      <c r="AB68" s="32"/>
      <c r="AC68" s="32"/>
      <c r="AD68" s="32"/>
      <c r="AE68" s="36"/>
      <c r="AF68" s="32"/>
      <c r="AG68" s="32"/>
      <c r="AH68" s="34"/>
      <c r="AI68" s="41"/>
      <c r="AJ68" s="33"/>
      <c r="AK68" s="36"/>
    </row>
    <row r="69" spans="1:37" ht="30" x14ac:dyDescent="0.25">
      <c r="A69" s="32" t="s">
        <v>297</v>
      </c>
      <c r="B69" s="32" t="s">
        <v>526</v>
      </c>
      <c r="C69" s="32" t="s">
        <v>218</v>
      </c>
      <c r="D69" s="32" t="s">
        <v>223</v>
      </c>
      <c r="E69" s="32" t="s">
        <v>452</v>
      </c>
      <c r="F69" s="32" t="s">
        <v>409</v>
      </c>
      <c r="G69" s="32">
        <v>8</v>
      </c>
      <c r="H69" s="32" t="s">
        <v>505</v>
      </c>
      <c r="I69" s="32" t="s">
        <v>488</v>
      </c>
      <c r="J69" s="34">
        <v>229</v>
      </c>
      <c r="K69" s="61">
        <f t="shared" si="2"/>
        <v>229</v>
      </c>
      <c r="L69" s="41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90"/>
      <c r="AA69" s="62">
        <f t="shared" si="3"/>
        <v>0</v>
      </c>
      <c r="AB69" s="32"/>
      <c r="AC69" s="32">
        <v>3</v>
      </c>
      <c r="AD69" s="32"/>
      <c r="AE69" s="36"/>
      <c r="AF69" s="32"/>
      <c r="AG69" s="32"/>
      <c r="AH69" s="34"/>
      <c r="AI69" s="41"/>
      <c r="AJ69" s="33"/>
      <c r="AK69" s="36"/>
    </row>
    <row r="70" spans="1:37" ht="30" x14ac:dyDescent="0.25">
      <c r="A70" s="32" t="s">
        <v>298</v>
      </c>
      <c r="B70" s="32" t="s">
        <v>527</v>
      </c>
      <c r="C70" s="32" t="s">
        <v>218</v>
      </c>
      <c r="D70" s="32" t="s">
        <v>223</v>
      </c>
      <c r="E70" s="32" t="s">
        <v>453</v>
      </c>
      <c r="F70" s="32" t="s">
        <v>452</v>
      </c>
      <c r="G70" s="32">
        <v>8</v>
      </c>
      <c r="H70" s="32" t="s">
        <v>505</v>
      </c>
      <c r="I70" s="32" t="s">
        <v>489</v>
      </c>
      <c r="J70" s="34">
        <v>114</v>
      </c>
      <c r="K70" s="61">
        <f t="shared" si="2"/>
        <v>114</v>
      </c>
      <c r="L70" s="41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90"/>
      <c r="AA70" s="62">
        <f t="shared" si="3"/>
        <v>0</v>
      </c>
      <c r="AB70" s="32"/>
      <c r="AC70" s="32">
        <v>1</v>
      </c>
      <c r="AD70" s="32"/>
      <c r="AE70" s="36"/>
      <c r="AF70" s="32"/>
      <c r="AG70" s="32"/>
      <c r="AH70" s="34"/>
      <c r="AI70" s="41"/>
      <c r="AJ70" s="33"/>
      <c r="AK70" s="36"/>
    </row>
    <row r="71" spans="1:37" ht="30.75" thickBot="1" x14ac:dyDescent="0.3">
      <c r="A71" s="32" t="s">
        <v>299</v>
      </c>
      <c r="B71" s="32" t="s">
        <v>528</v>
      </c>
      <c r="C71" s="32" t="s">
        <v>218</v>
      </c>
      <c r="D71" s="32" t="s">
        <v>223</v>
      </c>
      <c r="E71" s="32" t="s">
        <v>454</v>
      </c>
      <c r="F71" s="32" t="s">
        <v>453</v>
      </c>
      <c r="G71" s="32">
        <v>8</v>
      </c>
      <c r="H71" s="32" t="s">
        <v>505</v>
      </c>
      <c r="I71" s="32" t="s">
        <v>489</v>
      </c>
      <c r="J71" s="34">
        <v>91</v>
      </c>
      <c r="K71" s="61">
        <f t="shared" si="2"/>
        <v>91</v>
      </c>
      <c r="L71" s="41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206"/>
      <c r="Z71" s="90"/>
      <c r="AA71" s="62">
        <f t="shared" si="3"/>
        <v>0</v>
      </c>
      <c r="AB71" s="32"/>
      <c r="AC71" s="32">
        <v>1</v>
      </c>
      <c r="AD71" s="32"/>
      <c r="AE71" s="36"/>
      <c r="AF71" s="32"/>
      <c r="AG71" s="32"/>
      <c r="AH71" s="34"/>
      <c r="AI71" s="41"/>
      <c r="AJ71" s="33"/>
      <c r="AK71" s="36"/>
    </row>
    <row r="72" spans="1:37" ht="60.75" thickBot="1" x14ac:dyDescent="0.3">
      <c r="A72" s="32" t="s">
        <v>300</v>
      </c>
      <c r="B72" s="32" t="s">
        <v>218</v>
      </c>
      <c r="C72" s="32" t="s">
        <v>218</v>
      </c>
      <c r="D72" s="32" t="s">
        <v>223</v>
      </c>
      <c r="E72" s="32" t="s">
        <v>455</v>
      </c>
      <c r="F72" s="32" t="s">
        <v>378</v>
      </c>
      <c r="G72" s="32">
        <v>8</v>
      </c>
      <c r="H72" s="32" t="s">
        <v>495</v>
      </c>
      <c r="I72" s="32" t="s">
        <v>490</v>
      </c>
      <c r="J72" s="34">
        <v>196</v>
      </c>
      <c r="K72" s="61">
        <f t="shared" si="2"/>
        <v>199</v>
      </c>
      <c r="L72" s="41">
        <v>46114</v>
      </c>
      <c r="M72" s="32" t="s">
        <v>1046</v>
      </c>
      <c r="N72" s="32">
        <v>199</v>
      </c>
      <c r="O72" s="32">
        <v>198.9</v>
      </c>
      <c r="P72" s="32">
        <v>4</v>
      </c>
      <c r="Q72" s="32" t="s">
        <v>1057</v>
      </c>
      <c r="R72" s="32" t="s">
        <v>990</v>
      </c>
      <c r="S72" s="32" t="s">
        <v>1055</v>
      </c>
      <c r="T72" s="32" t="s">
        <v>990</v>
      </c>
      <c r="U72" s="32" t="s">
        <v>223</v>
      </c>
      <c r="V72" s="32" t="s">
        <v>1047</v>
      </c>
      <c r="W72" s="32" t="s">
        <v>1051</v>
      </c>
      <c r="X72" s="34" t="s">
        <v>1052</v>
      </c>
      <c r="Y72" s="224" t="s">
        <v>1058</v>
      </c>
      <c r="Z72" s="90"/>
      <c r="AA72" s="62">
        <f t="shared" si="3"/>
        <v>0</v>
      </c>
      <c r="AB72" s="32"/>
      <c r="AC72" s="32">
        <v>4</v>
      </c>
      <c r="AD72" s="32"/>
      <c r="AE72" s="36"/>
      <c r="AF72" s="32"/>
      <c r="AG72" s="32"/>
      <c r="AH72" s="34"/>
      <c r="AI72" s="41"/>
      <c r="AJ72" s="33"/>
      <c r="AK72" s="36"/>
    </row>
    <row r="73" spans="1:37" ht="30.75" thickBot="1" x14ac:dyDescent="0.3">
      <c r="A73" s="32" t="s">
        <v>301</v>
      </c>
      <c r="B73" s="32" t="s">
        <v>218</v>
      </c>
      <c r="C73" s="32" t="s">
        <v>218</v>
      </c>
      <c r="D73" s="32" t="s">
        <v>223</v>
      </c>
      <c r="E73" s="32" t="s">
        <v>456</v>
      </c>
      <c r="F73" s="32" t="s">
        <v>455</v>
      </c>
      <c r="G73" s="32">
        <v>8</v>
      </c>
      <c r="H73" s="32" t="s">
        <v>495</v>
      </c>
      <c r="I73" s="32" t="s">
        <v>489</v>
      </c>
      <c r="J73" s="34">
        <v>132</v>
      </c>
      <c r="K73" s="61">
        <f t="shared" si="2"/>
        <v>133</v>
      </c>
      <c r="L73" s="41">
        <v>46114</v>
      </c>
      <c r="M73" s="32" t="s">
        <v>1046</v>
      </c>
      <c r="N73" s="32">
        <v>133</v>
      </c>
      <c r="O73" s="32">
        <v>132.69999999999999</v>
      </c>
      <c r="P73" s="32">
        <v>2</v>
      </c>
      <c r="Q73" s="32" t="s">
        <v>1060</v>
      </c>
      <c r="R73" s="32" t="s">
        <v>990</v>
      </c>
      <c r="S73" s="32" t="s">
        <v>1057</v>
      </c>
      <c r="T73" s="32" t="s">
        <v>990</v>
      </c>
      <c r="U73" s="32" t="s">
        <v>223</v>
      </c>
      <c r="V73" s="32" t="s">
        <v>1047</v>
      </c>
      <c r="W73" s="32" t="s">
        <v>1048</v>
      </c>
      <c r="X73" s="34" t="s">
        <v>1052</v>
      </c>
      <c r="Y73" s="224"/>
      <c r="Z73" s="90"/>
      <c r="AA73" s="62">
        <f t="shared" si="3"/>
        <v>0</v>
      </c>
      <c r="AB73" s="32"/>
      <c r="AC73" s="32">
        <v>2</v>
      </c>
      <c r="AD73" s="32"/>
      <c r="AE73" s="36"/>
      <c r="AF73" s="32"/>
      <c r="AG73" s="32"/>
      <c r="AH73" s="34"/>
      <c r="AI73" s="41"/>
      <c r="AJ73" s="33"/>
      <c r="AK73" s="36"/>
    </row>
    <row r="74" spans="1:37" ht="30" x14ac:dyDescent="0.25">
      <c r="A74" s="32" t="s">
        <v>302</v>
      </c>
      <c r="B74" s="32" t="s">
        <v>529</v>
      </c>
      <c r="C74" s="32" t="s">
        <v>218</v>
      </c>
      <c r="D74" s="32" t="s">
        <v>223</v>
      </c>
      <c r="E74" s="205" t="s">
        <v>457</v>
      </c>
      <c r="F74" s="32" t="s">
        <v>458</v>
      </c>
      <c r="G74" s="32">
        <v>8</v>
      </c>
      <c r="H74" s="32" t="s">
        <v>493</v>
      </c>
      <c r="I74" s="32" t="s">
        <v>490</v>
      </c>
      <c r="J74" s="34">
        <v>189</v>
      </c>
      <c r="K74" s="61">
        <f t="shared" si="2"/>
        <v>189</v>
      </c>
      <c r="L74" s="41"/>
      <c r="M74" s="32"/>
      <c r="N74" s="32"/>
      <c r="O74" s="32"/>
      <c r="P74" s="32"/>
      <c r="Q74" s="32"/>
      <c r="R74" s="32"/>
      <c r="S74" s="32"/>
      <c r="T74" s="32"/>
      <c r="U74" s="32"/>
      <c r="V74" s="32"/>
      <c r="W74" s="32"/>
      <c r="X74" s="32"/>
      <c r="Y74" s="214"/>
      <c r="Z74" s="90"/>
      <c r="AA74" s="62">
        <f t="shared" si="3"/>
        <v>0</v>
      </c>
      <c r="AB74" s="32"/>
      <c r="AC74" s="32">
        <v>5</v>
      </c>
      <c r="AD74" s="32"/>
      <c r="AE74" s="36"/>
      <c r="AF74" s="32"/>
      <c r="AG74" s="32"/>
      <c r="AH74" s="34"/>
      <c r="AI74" s="41"/>
      <c r="AJ74" s="33"/>
      <c r="AK74" s="36"/>
    </row>
    <row r="75" spans="1:37" ht="45" x14ac:dyDescent="0.25">
      <c r="A75" s="32" t="s">
        <v>303</v>
      </c>
      <c r="B75" s="32" t="s">
        <v>530</v>
      </c>
      <c r="C75" s="32" t="s">
        <v>530</v>
      </c>
      <c r="D75" s="32" t="s">
        <v>218</v>
      </c>
      <c r="E75" s="32" t="s">
        <v>459</v>
      </c>
      <c r="F75" s="32" t="s">
        <v>457</v>
      </c>
      <c r="G75" s="32">
        <v>8</v>
      </c>
      <c r="H75" s="32" t="s">
        <v>493</v>
      </c>
      <c r="I75" s="32" t="s">
        <v>489</v>
      </c>
      <c r="J75" s="34">
        <v>282</v>
      </c>
      <c r="K75" s="61">
        <f t="shared" si="2"/>
        <v>282</v>
      </c>
      <c r="L75" s="41"/>
      <c r="M75" s="32"/>
      <c r="N75" s="32"/>
      <c r="O75" s="32"/>
      <c r="P75" s="32"/>
      <c r="Q75" s="32"/>
      <c r="R75" s="32"/>
      <c r="S75" s="32"/>
      <c r="T75" s="32"/>
      <c r="U75" s="32"/>
      <c r="V75" s="32"/>
      <c r="W75" s="32"/>
      <c r="X75" s="32"/>
      <c r="Y75" s="32"/>
      <c r="Z75" s="90"/>
      <c r="AA75" s="62">
        <f t="shared" si="3"/>
        <v>0</v>
      </c>
      <c r="AB75" s="32"/>
      <c r="AC75" s="32">
        <v>3</v>
      </c>
      <c r="AD75" s="32"/>
      <c r="AE75" s="36"/>
      <c r="AF75" s="32"/>
      <c r="AG75" s="32"/>
      <c r="AH75" s="34"/>
      <c r="AI75" s="41"/>
      <c r="AJ75" s="33"/>
      <c r="AK75" s="36"/>
    </row>
    <row r="76" spans="1:37" ht="30" x14ac:dyDescent="0.25">
      <c r="A76" s="32" t="s">
        <v>304</v>
      </c>
      <c r="B76" s="32" t="s">
        <v>513</v>
      </c>
      <c r="C76" s="32" t="s">
        <v>218</v>
      </c>
      <c r="D76" s="32" t="s">
        <v>223</v>
      </c>
      <c r="E76" s="205" t="s">
        <v>460</v>
      </c>
      <c r="F76" s="32" t="s">
        <v>459</v>
      </c>
      <c r="G76" s="32">
        <v>8</v>
      </c>
      <c r="H76" s="32" t="s">
        <v>505</v>
      </c>
      <c r="I76" s="32" t="s">
        <v>489</v>
      </c>
      <c r="J76" s="34">
        <v>103</v>
      </c>
      <c r="K76" s="61">
        <f t="shared" si="2"/>
        <v>103</v>
      </c>
      <c r="L76" s="41"/>
      <c r="M76" s="32"/>
      <c r="N76" s="32"/>
      <c r="O76" s="32"/>
      <c r="P76" s="32"/>
      <c r="Q76" s="32"/>
      <c r="R76" s="32"/>
      <c r="S76" s="32"/>
      <c r="T76" s="32"/>
      <c r="U76" s="32"/>
      <c r="V76" s="32"/>
      <c r="W76" s="32"/>
      <c r="X76" s="32"/>
      <c r="Y76" s="32"/>
      <c r="Z76" s="90"/>
      <c r="AA76" s="62">
        <f t="shared" si="3"/>
        <v>0</v>
      </c>
      <c r="AB76" s="32"/>
      <c r="AC76" s="32">
        <v>2</v>
      </c>
      <c r="AD76" s="32"/>
      <c r="AE76" s="36"/>
      <c r="AF76" s="32"/>
      <c r="AG76" s="32"/>
      <c r="AH76" s="34"/>
      <c r="AI76" s="41"/>
      <c r="AJ76" s="33"/>
      <c r="AK76" s="36"/>
    </row>
    <row r="77" spans="1:37" ht="30" x14ac:dyDescent="0.25">
      <c r="A77" s="32" t="s">
        <v>305</v>
      </c>
      <c r="B77" s="32" t="s">
        <v>516</v>
      </c>
      <c r="C77" s="32" t="s">
        <v>218</v>
      </c>
      <c r="D77" s="32" t="s">
        <v>223</v>
      </c>
      <c r="E77" s="32" t="s">
        <v>461</v>
      </c>
      <c r="F77" s="32" t="s">
        <v>460</v>
      </c>
      <c r="G77" s="32">
        <v>8</v>
      </c>
      <c r="H77" s="32" t="s">
        <v>505</v>
      </c>
      <c r="I77" s="32" t="s">
        <v>489</v>
      </c>
      <c r="J77" s="34">
        <v>165</v>
      </c>
      <c r="K77" s="61">
        <f t="shared" si="2"/>
        <v>165</v>
      </c>
      <c r="L77" s="41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90"/>
      <c r="AA77" s="62">
        <f t="shared" si="3"/>
        <v>0</v>
      </c>
      <c r="AB77" s="32"/>
      <c r="AC77" s="32">
        <v>2</v>
      </c>
      <c r="AD77" s="32"/>
      <c r="AE77" s="36"/>
      <c r="AF77" s="32"/>
      <c r="AG77" s="32"/>
      <c r="AH77" s="34"/>
      <c r="AI77" s="41"/>
      <c r="AJ77" s="33"/>
      <c r="AK77" s="36"/>
    </row>
    <row r="78" spans="1:37" x14ac:dyDescent="0.25">
      <c r="A78" s="206" t="s">
        <v>306</v>
      </c>
      <c r="B78" s="206" t="s">
        <v>531</v>
      </c>
      <c r="C78" s="206" t="s">
        <v>218</v>
      </c>
      <c r="D78" s="206" t="s">
        <v>223</v>
      </c>
      <c r="E78" s="206" t="s">
        <v>462</v>
      </c>
      <c r="F78" s="206" t="s">
        <v>461</v>
      </c>
      <c r="G78" s="206">
        <v>8</v>
      </c>
      <c r="H78" s="206" t="s">
        <v>505</v>
      </c>
      <c r="I78" s="206" t="s">
        <v>489</v>
      </c>
      <c r="J78" s="207">
        <v>227</v>
      </c>
      <c r="K78" s="208">
        <f t="shared" si="2"/>
        <v>227</v>
      </c>
      <c r="L78" s="209"/>
      <c r="M78" s="206"/>
      <c r="N78" s="206"/>
      <c r="O78" s="206"/>
      <c r="P78" s="206"/>
      <c r="Q78" s="206"/>
      <c r="R78" s="206"/>
      <c r="S78" s="206"/>
      <c r="T78" s="206"/>
      <c r="U78" s="206"/>
      <c r="V78" s="206"/>
      <c r="W78" s="206"/>
      <c r="X78" s="206"/>
      <c r="Y78" s="206"/>
      <c r="Z78" s="210"/>
      <c r="AA78" s="211">
        <f t="shared" si="3"/>
        <v>0</v>
      </c>
      <c r="AB78" s="206"/>
      <c r="AC78" s="206">
        <v>4</v>
      </c>
      <c r="AD78" s="206"/>
      <c r="AE78" s="212"/>
      <c r="AF78" s="206"/>
      <c r="AG78" s="206"/>
      <c r="AH78" s="207"/>
      <c r="AI78" s="209"/>
      <c r="AJ78" s="213"/>
      <c r="AK78" s="212"/>
    </row>
    <row r="79" spans="1:37" s="32" customFormat="1" ht="30" x14ac:dyDescent="0.25">
      <c r="A79" s="32" t="s">
        <v>307</v>
      </c>
      <c r="B79" s="32" t="s">
        <v>532</v>
      </c>
      <c r="C79" s="32" t="s">
        <v>532</v>
      </c>
      <c r="D79" s="32" t="s">
        <v>218</v>
      </c>
      <c r="E79" s="32" t="s">
        <v>463</v>
      </c>
      <c r="F79" s="32" t="s">
        <v>369</v>
      </c>
      <c r="G79" s="32">
        <v>8</v>
      </c>
      <c r="H79" s="32" t="s">
        <v>493</v>
      </c>
      <c r="I79" s="32" t="s">
        <v>490</v>
      </c>
      <c r="J79" s="32">
        <v>373</v>
      </c>
      <c r="K79" s="62">
        <f t="shared" si="2"/>
        <v>375</v>
      </c>
      <c r="L79" s="33">
        <v>46118</v>
      </c>
      <c r="M79" s="32" t="s">
        <v>1054</v>
      </c>
      <c r="N79" s="32">
        <v>375</v>
      </c>
      <c r="O79" s="32">
        <v>374.3</v>
      </c>
      <c r="P79" s="32">
        <v>5</v>
      </c>
      <c r="Q79" s="32" t="s">
        <v>1078</v>
      </c>
      <c r="R79" s="32" t="s">
        <v>990</v>
      </c>
      <c r="S79" s="32" t="s">
        <v>1062</v>
      </c>
      <c r="T79" s="32" t="s">
        <v>990</v>
      </c>
      <c r="U79" s="32" t="s">
        <v>80</v>
      </c>
      <c r="V79" s="32" t="s">
        <v>1047</v>
      </c>
      <c r="W79" s="32" t="s">
        <v>80</v>
      </c>
      <c r="X79" s="32" t="s">
        <v>1052</v>
      </c>
      <c r="Z79" s="78"/>
      <c r="AA79" s="62">
        <f t="shared" si="3"/>
        <v>0</v>
      </c>
      <c r="AC79" s="32">
        <v>2</v>
      </c>
      <c r="AI79" s="33"/>
      <c r="AJ79" s="33"/>
    </row>
    <row r="80" spans="1:37" ht="30.75" thickBot="1" x14ac:dyDescent="0.3">
      <c r="A80" s="214" t="s">
        <v>308</v>
      </c>
      <c r="B80" s="214" t="s">
        <v>508</v>
      </c>
      <c r="C80" s="214" t="s">
        <v>508</v>
      </c>
      <c r="D80" s="214" t="s">
        <v>218</v>
      </c>
      <c r="E80" s="214" t="s">
        <v>464</v>
      </c>
      <c r="F80" s="214" t="s">
        <v>463</v>
      </c>
      <c r="G80" s="214">
        <v>8</v>
      </c>
      <c r="H80" s="214" t="s">
        <v>493</v>
      </c>
      <c r="I80" s="214" t="s">
        <v>489</v>
      </c>
      <c r="J80" s="215">
        <v>379</v>
      </c>
      <c r="K80" s="216">
        <f t="shared" si="2"/>
        <v>371</v>
      </c>
      <c r="L80" s="217">
        <v>46118</v>
      </c>
      <c r="M80" s="214" t="s">
        <v>1046</v>
      </c>
      <c r="N80" s="214">
        <v>371</v>
      </c>
      <c r="O80" s="214">
        <v>370.8</v>
      </c>
      <c r="P80" s="214">
        <v>4</v>
      </c>
      <c r="Q80" s="214" t="s">
        <v>1045</v>
      </c>
      <c r="R80" s="214" t="s">
        <v>990</v>
      </c>
      <c r="S80" s="214" t="s">
        <v>1078</v>
      </c>
      <c r="T80" s="214" t="s">
        <v>990</v>
      </c>
      <c r="U80" s="214" t="s">
        <v>218</v>
      </c>
      <c r="V80" s="214" t="s">
        <v>1047</v>
      </c>
      <c r="W80" s="214" t="s">
        <v>1064</v>
      </c>
      <c r="X80" s="214" t="s">
        <v>1052</v>
      </c>
      <c r="Y80" s="223"/>
      <c r="Z80" s="218"/>
      <c r="AA80" s="219">
        <f t="shared" si="3"/>
        <v>0</v>
      </c>
      <c r="AB80" s="214"/>
      <c r="AC80" s="214">
        <v>4</v>
      </c>
      <c r="AD80" s="214"/>
      <c r="AE80" s="220"/>
      <c r="AF80" s="214"/>
      <c r="AG80" s="214"/>
      <c r="AH80" s="215"/>
      <c r="AI80" s="217"/>
      <c r="AJ80" s="221"/>
      <c r="AK80" s="220"/>
    </row>
    <row r="81" spans="1:37" ht="30.75" thickBot="1" x14ac:dyDescent="0.3">
      <c r="A81" s="32" t="s">
        <v>309</v>
      </c>
      <c r="B81" s="32" t="s">
        <v>533</v>
      </c>
      <c r="C81" s="32" t="s">
        <v>218</v>
      </c>
      <c r="D81" s="32" t="s">
        <v>223</v>
      </c>
      <c r="E81" s="32" t="s">
        <v>465</v>
      </c>
      <c r="F81" s="32" t="s">
        <v>464</v>
      </c>
      <c r="G81" s="32">
        <v>8</v>
      </c>
      <c r="H81" s="32" t="s">
        <v>493</v>
      </c>
      <c r="I81" s="32" t="s">
        <v>489</v>
      </c>
      <c r="J81" s="34">
        <v>168</v>
      </c>
      <c r="K81" s="61">
        <f t="shared" si="2"/>
        <v>169</v>
      </c>
      <c r="L81" s="41">
        <v>46115</v>
      </c>
      <c r="M81" s="32" t="s">
        <v>1054</v>
      </c>
      <c r="N81" s="32">
        <v>169</v>
      </c>
      <c r="O81" s="32">
        <v>168.1</v>
      </c>
      <c r="P81" s="32">
        <v>1</v>
      </c>
      <c r="Q81" s="32" t="s">
        <v>1067</v>
      </c>
      <c r="R81" s="32" t="s">
        <v>990</v>
      </c>
      <c r="S81" s="32" t="s">
        <v>1045</v>
      </c>
      <c r="T81" s="32" t="s">
        <v>990</v>
      </c>
      <c r="U81" s="32" t="s">
        <v>218</v>
      </c>
      <c r="V81" s="32" t="s">
        <v>1047</v>
      </c>
      <c r="W81" s="32" t="s">
        <v>1064</v>
      </c>
      <c r="X81" s="34" t="s">
        <v>1052</v>
      </c>
      <c r="Y81" s="224"/>
      <c r="Z81" s="90"/>
      <c r="AA81" s="62">
        <f t="shared" si="3"/>
        <v>0</v>
      </c>
      <c r="AB81" s="32"/>
      <c r="AC81" s="32">
        <v>4</v>
      </c>
      <c r="AD81" s="32"/>
      <c r="AE81" s="36"/>
      <c r="AF81" s="32"/>
      <c r="AG81" s="32"/>
      <c r="AH81" s="34"/>
      <c r="AI81" s="41"/>
      <c r="AJ81" s="33"/>
      <c r="AK81" s="36"/>
    </row>
    <row r="82" spans="1:37" ht="30.75" thickBot="1" x14ac:dyDescent="0.3">
      <c r="A82" s="32" t="s">
        <v>310</v>
      </c>
      <c r="B82" s="32" t="s">
        <v>508</v>
      </c>
      <c r="C82" s="32" t="s">
        <v>508</v>
      </c>
      <c r="D82" s="32" t="s">
        <v>218</v>
      </c>
      <c r="E82" s="32" t="s">
        <v>466</v>
      </c>
      <c r="F82" s="32" t="s">
        <v>465</v>
      </c>
      <c r="G82" s="32">
        <v>8</v>
      </c>
      <c r="H82" s="32" t="s">
        <v>493</v>
      </c>
      <c r="I82" s="32" t="s">
        <v>489</v>
      </c>
      <c r="J82" s="34">
        <v>67</v>
      </c>
      <c r="K82" s="61">
        <f t="shared" si="2"/>
        <v>72</v>
      </c>
      <c r="L82" s="41">
        <v>46115</v>
      </c>
      <c r="M82" s="32" t="s">
        <v>1046</v>
      </c>
      <c r="N82" s="32">
        <v>72</v>
      </c>
      <c r="O82" s="32">
        <v>71.099999999999994</v>
      </c>
      <c r="P82" s="32">
        <v>2</v>
      </c>
      <c r="Q82" s="32" t="s">
        <v>1068</v>
      </c>
      <c r="R82" s="32" t="s">
        <v>990</v>
      </c>
      <c r="S82" s="32" t="s">
        <v>1067</v>
      </c>
      <c r="T82" s="32" t="s">
        <v>990</v>
      </c>
      <c r="U82" s="32" t="s">
        <v>218</v>
      </c>
      <c r="V82" s="32" t="s">
        <v>1047</v>
      </c>
      <c r="W82" s="32" t="s">
        <v>1064</v>
      </c>
      <c r="X82" s="34" t="s">
        <v>1052</v>
      </c>
      <c r="Y82" s="224"/>
      <c r="Z82" s="90"/>
      <c r="AA82" s="62">
        <f t="shared" si="3"/>
        <v>0</v>
      </c>
      <c r="AB82" s="32"/>
      <c r="AC82" s="32">
        <v>2</v>
      </c>
      <c r="AD82" s="32"/>
      <c r="AE82" s="36"/>
      <c r="AF82" s="32"/>
      <c r="AG82" s="32"/>
      <c r="AH82" s="34"/>
      <c r="AI82" s="41"/>
      <c r="AJ82" s="33"/>
      <c r="AK82" s="36"/>
    </row>
    <row r="83" spans="1:37" ht="30" x14ac:dyDescent="0.25">
      <c r="A83" s="32" t="s">
        <v>311</v>
      </c>
      <c r="B83" s="32" t="s">
        <v>534</v>
      </c>
      <c r="C83" s="32" t="s">
        <v>534</v>
      </c>
      <c r="D83" s="32" t="s">
        <v>218</v>
      </c>
      <c r="E83" s="32" t="s">
        <v>467</v>
      </c>
      <c r="F83" s="32" t="s">
        <v>457</v>
      </c>
      <c r="G83" s="32">
        <v>8</v>
      </c>
      <c r="H83" s="32" t="s">
        <v>495</v>
      </c>
      <c r="I83" s="32" t="s">
        <v>489</v>
      </c>
      <c r="J83" s="34">
        <v>275</v>
      </c>
      <c r="K83" s="61">
        <f t="shared" ref="K83:K98" si="4">IF(N83&gt;0,N83,J83)</f>
        <v>275</v>
      </c>
      <c r="L83" s="41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214"/>
      <c r="Z83" s="90"/>
      <c r="AA83" s="62">
        <f t="shared" ref="AA83:AA98" si="5">IF(Z83&gt;0,K83,0)</f>
        <v>0</v>
      </c>
      <c r="AB83" s="32"/>
      <c r="AC83" s="32">
        <v>3</v>
      </c>
      <c r="AD83" s="32"/>
      <c r="AE83" s="36"/>
      <c r="AF83" s="32"/>
      <c r="AG83" s="32"/>
      <c r="AH83" s="34"/>
      <c r="AI83" s="41"/>
      <c r="AJ83" s="33"/>
      <c r="AK83" s="36"/>
    </row>
    <row r="84" spans="1:37" ht="30" x14ac:dyDescent="0.25">
      <c r="A84" s="32" t="s">
        <v>312</v>
      </c>
      <c r="B84" s="32" t="s">
        <v>535</v>
      </c>
      <c r="C84" s="32" t="s">
        <v>535</v>
      </c>
      <c r="D84" s="32" t="s">
        <v>218</v>
      </c>
      <c r="E84" s="32" t="s">
        <v>468</v>
      </c>
      <c r="F84" s="32" t="s">
        <v>407</v>
      </c>
      <c r="G84" s="32">
        <v>8</v>
      </c>
      <c r="H84" s="32" t="s">
        <v>506</v>
      </c>
      <c r="I84" s="32" t="s">
        <v>491</v>
      </c>
      <c r="J84" s="34">
        <v>282</v>
      </c>
      <c r="K84" s="61">
        <f t="shared" si="4"/>
        <v>282</v>
      </c>
      <c r="L84" s="41"/>
      <c r="M84" s="32"/>
      <c r="N84" s="32"/>
      <c r="O84" s="32"/>
      <c r="P84" s="32"/>
      <c r="Q84" s="32"/>
      <c r="R84" s="32"/>
      <c r="S84" s="32"/>
      <c r="T84" s="32"/>
      <c r="U84" s="32"/>
      <c r="V84" s="32"/>
      <c r="W84" s="32"/>
      <c r="X84" s="32"/>
      <c r="Y84" s="32"/>
      <c r="Z84" s="90"/>
      <c r="AA84" s="62">
        <f t="shared" si="5"/>
        <v>0</v>
      </c>
      <c r="AB84" s="32"/>
      <c r="AC84" s="32">
        <v>2</v>
      </c>
      <c r="AD84" s="32"/>
      <c r="AE84" s="36"/>
      <c r="AF84" s="32"/>
      <c r="AG84" s="32"/>
      <c r="AH84" s="34"/>
      <c r="AI84" s="41"/>
      <c r="AJ84" s="33"/>
      <c r="AK84" s="36"/>
    </row>
    <row r="85" spans="1:37" x14ac:dyDescent="0.25">
      <c r="A85" s="32" t="s">
        <v>313</v>
      </c>
      <c r="B85" s="32" t="s">
        <v>536</v>
      </c>
      <c r="C85" s="32" t="s">
        <v>536</v>
      </c>
      <c r="D85" s="32" t="s">
        <v>218</v>
      </c>
      <c r="E85" s="32" t="s">
        <v>469</v>
      </c>
      <c r="F85" s="32" t="s">
        <v>468</v>
      </c>
      <c r="G85" s="32">
        <v>8</v>
      </c>
      <c r="H85" s="32" t="s">
        <v>506</v>
      </c>
      <c r="I85" s="32" t="s">
        <v>492</v>
      </c>
      <c r="J85" s="34">
        <v>208</v>
      </c>
      <c r="K85" s="61">
        <f t="shared" si="4"/>
        <v>208</v>
      </c>
      <c r="L85" s="41"/>
      <c r="M85" s="32"/>
      <c r="N85" s="32"/>
      <c r="O85" s="32"/>
      <c r="P85" s="32"/>
      <c r="Q85" s="32"/>
      <c r="R85" s="32"/>
      <c r="S85" s="32"/>
      <c r="T85" s="32"/>
      <c r="U85" s="32"/>
      <c r="V85" s="32"/>
      <c r="W85" s="32"/>
      <c r="X85" s="32"/>
      <c r="Y85" s="32"/>
      <c r="Z85" s="90"/>
      <c r="AA85" s="62">
        <f t="shared" si="5"/>
        <v>0</v>
      </c>
      <c r="AB85" s="32"/>
      <c r="AC85" s="32">
        <v>3</v>
      </c>
      <c r="AD85" s="32"/>
      <c r="AE85" s="36"/>
      <c r="AF85" s="32"/>
      <c r="AG85" s="32"/>
      <c r="AH85" s="34"/>
      <c r="AI85" s="41"/>
      <c r="AJ85" s="33"/>
      <c r="AK85" s="36"/>
    </row>
    <row r="86" spans="1:37" ht="120" x14ac:dyDescent="0.25">
      <c r="A86" s="32" t="s">
        <v>314</v>
      </c>
      <c r="B86" s="32" t="s">
        <v>537</v>
      </c>
      <c r="C86" s="32" t="s">
        <v>585</v>
      </c>
      <c r="D86" s="32" t="s">
        <v>218</v>
      </c>
      <c r="E86" s="32" t="s">
        <v>470</v>
      </c>
      <c r="F86" s="32" t="s">
        <v>469</v>
      </c>
      <c r="G86" s="32">
        <v>8</v>
      </c>
      <c r="H86" s="32" t="s">
        <v>506</v>
      </c>
      <c r="I86" s="32" t="s">
        <v>492</v>
      </c>
      <c r="J86" s="34">
        <v>312</v>
      </c>
      <c r="K86" s="61">
        <f t="shared" si="4"/>
        <v>312</v>
      </c>
      <c r="L86" s="41"/>
      <c r="M86" s="32"/>
      <c r="N86" s="32"/>
      <c r="O86" s="32"/>
      <c r="P86" s="32"/>
      <c r="Q86" s="32"/>
      <c r="R86" s="32"/>
      <c r="S86" s="32"/>
      <c r="T86" s="32"/>
      <c r="U86" s="32"/>
      <c r="V86" s="32"/>
      <c r="W86" s="32"/>
      <c r="X86" s="32"/>
      <c r="Y86" s="32"/>
      <c r="Z86" s="90"/>
      <c r="AA86" s="62">
        <f t="shared" si="5"/>
        <v>0</v>
      </c>
      <c r="AB86" s="32"/>
      <c r="AC86" s="32">
        <v>4</v>
      </c>
      <c r="AD86" s="32"/>
      <c r="AE86" s="36"/>
      <c r="AF86" s="32"/>
      <c r="AG86" s="32"/>
      <c r="AH86" s="34"/>
      <c r="AI86" s="41"/>
      <c r="AJ86" s="33"/>
      <c r="AK86" s="36"/>
    </row>
    <row r="87" spans="1:37" ht="30" x14ac:dyDescent="0.25">
      <c r="A87" s="32" t="s">
        <v>315</v>
      </c>
      <c r="B87" s="32" t="s">
        <v>317</v>
      </c>
      <c r="C87" s="32" t="s">
        <v>317</v>
      </c>
      <c r="D87" s="32" t="s">
        <v>218</v>
      </c>
      <c r="E87" s="32" t="s">
        <v>471</v>
      </c>
      <c r="F87" s="32" t="s">
        <v>407</v>
      </c>
      <c r="G87" s="32">
        <v>8</v>
      </c>
      <c r="H87" s="32" t="s">
        <v>494</v>
      </c>
      <c r="I87" s="32" t="s">
        <v>491</v>
      </c>
      <c r="J87" s="34">
        <v>138</v>
      </c>
      <c r="K87" s="61">
        <f t="shared" si="4"/>
        <v>138</v>
      </c>
      <c r="L87" s="41"/>
      <c r="M87" s="32"/>
      <c r="N87" s="32"/>
      <c r="O87" s="32"/>
      <c r="P87" s="32"/>
      <c r="Q87" s="32"/>
      <c r="R87" s="32"/>
      <c r="S87" s="32"/>
      <c r="T87" s="32"/>
      <c r="U87" s="32"/>
      <c r="V87" s="32"/>
      <c r="W87" s="32"/>
      <c r="X87" s="32"/>
      <c r="Y87" s="32"/>
      <c r="Z87" s="90"/>
      <c r="AA87" s="62">
        <f t="shared" si="5"/>
        <v>0</v>
      </c>
      <c r="AB87" s="32"/>
      <c r="AC87" s="32">
        <v>1</v>
      </c>
      <c r="AD87" s="32"/>
      <c r="AE87" s="36"/>
      <c r="AF87" s="32"/>
      <c r="AG87" s="32"/>
      <c r="AH87" s="34"/>
      <c r="AI87" s="41"/>
      <c r="AJ87" s="33"/>
      <c r="AK87" s="36"/>
    </row>
    <row r="88" spans="1:37" ht="30" x14ac:dyDescent="0.25">
      <c r="A88" s="32" t="s">
        <v>316</v>
      </c>
      <c r="B88" s="32" t="s">
        <v>538</v>
      </c>
      <c r="C88" s="32" t="s">
        <v>586</v>
      </c>
      <c r="D88" s="32" t="s">
        <v>218</v>
      </c>
      <c r="E88" s="32" t="s">
        <v>472</v>
      </c>
      <c r="F88" s="32" t="s">
        <v>471</v>
      </c>
      <c r="G88" s="32">
        <v>8</v>
      </c>
      <c r="H88" s="32" t="s">
        <v>506</v>
      </c>
      <c r="I88" s="32" t="s">
        <v>492</v>
      </c>
      <c r="J88" s="34">
        <v>169</v>
      </c>
      <c r="K88" s="61">
        <f t="shared" si="4"/>
        <v>169</v>
      </c>
      <c r="L88" s="41"/>
      <c r="M88" s="32"/>
      <c r="N88" s="32"/>
      <c r="O88" s="32"/>
      <c r="P88" s="32"/>
      <c r="Q88" s="32"/>
      <c r="R88" s="32"/>
      <c r="S88" s="32"/>
      <c r="T88" s="32"/>
      <c r="U88" s="32"/>
      <c r="V88" s="32"/>
      <c r="W88" s="32"/>
      <c r="X88" s="32"/>
      <c r="Y88" s="32"/>
      <c r="Z88" s="90"/>
      <c r="AA88" s="62">
        <f t="shared" si="5"/>
        <v>0</v>
      </c>
      <c r="AB88" s="32"/>
      <c r="AC88" s="32">
        <v>2</v>
      </c>
      <c r="AD88" s="32"/>
      <c r="AE88" s="36"/>
      <c r="AF88" s="32"/>
      <c r="AG88" s="32"/>
      <c r="AH88" s="34"/>
      <c r="AI88" s="41"/>
      <c r="AJ88" s="33"/>
      <c r="AK88" s="36"/>
    </row>
    <row r="89" spans="1:37" ht="45" x14ac:dyDescent="0.25">
      <c r="A89" s="32" t="s">
        <v>362</v>
      </c>
      <c r="B89" s="32" t="s">
        <v>539</v>
      </c>
      <c r="C89" s="32" t="s">
        <v>587</v>
      </c>
      <c r="D89" s="32" t="s">
        <v>218</v>
      </c>
      <c r="E89" s="32" t="s">
        <v>473</v>
      </c>
      <c r="F89" s="32" t="s">
        <v>474</v>
      </c>
      <c r="G89" s="32">
        <v>8</v>
      </c>
      <c r="H89" s="32" t="s">
        <v>506</v>
      </c>
      <c r="I89" s="32" t="s">
        <v>492</v>
      </c>
      <c r="J89" s="34">
        <v>198</v>
      </c>
      <c r="K89" s="61">
        <f t="shared" si="4"/>
        <v>198</v>
      </c>
      <c r="L89" s="41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90"/>
      <c r="AA89" s="62">
        <f t="shared" si="5"/>
        <v>0</v>
      </c>
      <c r="AB89" s="32"/>
      <c r="AC89" s="32">
        <v>3</v>
      </c>
      <c r="AD89" s="32"/>
      <c r="AE89" s="36"/>
      <c r="AF89" s="32"/>
      <c r="AG89" s="32"/>
      <c r="AH89" s="34"/>
      <c r="AI89" s="41"/>
      <c r="AJ89" s="33"/>
      <c r="AK89" s="36"/>
    </row>
    <row r="90" spans="1:37" ht="30" x14ac:dyDescent="0.25">
      <c r="A90" s="32" t="s">
        <v>363</v>
      </c>
      <c r="B90" s="32" t="s">
        <v>538</v>
      </c>
      <c r="C90" s="32" t="s">
        <v>586</v>
      </c>
      <c r="D90" s="32" t="s">
        <v>218</v>
      </c>
      <c r="E90" s="32" t="s">
        <v>475</v>
      </c>
      <c r="F90" s="32" t="s">
        <v>473</v>
      </c>
      <c r="G90" s="32">
        <v>8</v>
      </c>
      <c r="H90" s="32" t="s">
        <v>505</v>
      </c>
      <c r="I90" s="32" t="s">
        <v>492</v>
      </c>
      <c r="J90" s="34">
        <v>89</v>
      </c>
      <c r="K90" s="61">
        <f t="shared" si="4"/>
        <v>89</v>
      </c>
      <c r="L90" s="41"/>
      <c r="M90" s="32"/>
      <c r="N90" s="32"/>
      <c r="O90" s="32"/>
      <c r="P90" s="32"/>
      <c r="Q90" s="32"/>
      <c r="R90" s="32"/>
      <c r="S90" s="32"/>
      <c r="T90" s="32"/>
      <c r="U90" s="32"/>
      <c r="V90" s="32"/>
      <c r="W90" s="32"/>
      <c r="X90" s="32"/>
      <c r="Y90" s="32"/>
      <c r="Z90" s="90"/>
      <c r="AA90" s="62">
        <f t="shared" si="5"/>
        <v>0</v>
      </c>
      <c r="AB90" s="32"/>
      <c r="AC90" s="32">
        <v>1</v>
      </c>
      <c r="AD90" s="32"/>
      <c r="AE90" s="36"/>
      <c r="AF90" s="32"/>
      <c r="AG90" s="32"/>
      <c r="AH90" s="34"/>
      <c r="AI90" s="41"/>
      <c r="AJ90" s="33"/>
      <c r="AK90" s="36"/>
    </row>
    <row r="91" spans="1:37" ht="30" x14ac:dyDescent="0.25">
      <c r="A91" s="32" t="s">
        <v>364</v>
      </c>
      <c r="B91" s="32" t="s">
        <v>540</v>
      </c>
      <c r="C91" s="32" t="s">
        <v>218</v>
      </c>
      <c r="D91" s="32" t="s">
        <v>223</v>
      </c>
      <c r="E91" s="32" t="s">
        <v>476</v>
      </c>
      <c r="F91" s="32" t="s">
        <v>477</v>
      </c>
      <c r="G91" s="32">
        <v>8</v>
      </c>
      <c r="H91" s="32" t="s">
        <v>505</v>
      </c>
      <c r="I91" s="32" t="s">
        <v>492</v>
      </c>
      <c r="J91" s="34">
        <v>332</v>
      </c>
      <c r="K91" s="61">
        <f t="shared" si="4"/>
        <v>332</v>
      </c>
      <c r="L91" s="41"/>
      <c r="M91" s="32"/>
      <c r="N91" s="32"/>
      <c r="O91" s="32"/>
      <c r="P91" s="32"/>
      <c r="Q91" s="32"/>
      <c r="R91" s="32"/>
      <c r="S91" s="32"/>
      <c r="T91" s="32"/>
      <c r="U91" s="32"/>
      <c r="V91" s="32"/>
      <c r="W91" s="32"/>
      <c r="X91" s="32"/>
      <c r="Y91" s="32"/>
      <c r="Z91" s="90"/>
      <c r="AA91" s="62">
        <f t="shared" si="5"/>
        <v>0</v>
      </c>
      <c r="AB91" s="32"/>
      <c r="AC91" s="32">
        <v>6</v>
      </c>
      <c r="AD91" s="32"/>
      <c r="AE91" s="36"/>
      <c r="AF91" s="32"/>
      <c r="AG91" s="32"/>
      <c r="AH91" s="34"/>
      <c r="AI91" s="41"/>
      <c r="AJ91" s="33"/>
      <c r="AK91" s="36"/>
    </row>
    <row r="92" spans="1:37" ht="30" x14ac:dyDescent="0.25">
      <c r="A92" s="32" t="s">
        <v>365</v>
      </c>
      <c r="B92" s="32" t="s">
        <v>541</v>
      </c>
      <c r="C92" s="32" t="s">
        <v>218</v>
      </c>
      <c r="D92" s="32" t="s">
        <v>223</v>
      </c>
      <c r="E92" s="32" t="s">
        <v>478</v>
      </c>
      <c r="F92" s="32" t="s">
        <v>409</v>
      </c>
      <c r="G92" s="32">
        <v>8</v>
      </c>
      <c r="H92" s="32" t="s">
        <v>505</v>
      </c>
      <c r="I92" s="32" t="s">
        <v>491</v>
      </c>
      <c r="J92" s="34">
        <v>61</v>
      </c>
      <c r="K92" s="61">
        <f t="shared" si="4"/>
        <v>61</v>
      </c>
      <c r="L92" s="41"/>
      <c r="M92" s="32"/>
      <c r="N92" s="32"/>
      <c r="O92" s="32"/>
      <c r="P92" s="32"/>
      <c r="Q92" s="32"/>
      <c r="R92" s="32"/>
      <c r="S92" s="32"/>
      <c r="T92" s="32"/>
      <c r="U92" s="32"/>
      <c r="V92" s="32"/>
      <c r="W92" s="32"/>
      <c r="X92" s="32"/>
      <c r="Y92" s="32"/>
      <c r="Z92" s="90"/>
      <c r="AA92" s="62">
        <f t="shared" si="5"/>
        <v>0</v>
      </c>
      <c r="AB92" s="32"/>
      <c r="AC92" s="32">
        <v>1</v>
      </c>
      <c r="AD92" s="32"/>
      <c r="AE92" s="36"/>
      <c r="AF92" s="32"/>
      <c r="AG92" s="32"/>
      <c r="AH92" s="34"/>
      <c r="AI92" s="41"/>
      <c r="AJ92" s="33"/>
      <c r="AK92" s="36"/>
    </row>
    <row r="93" spans="1:37" x14ac:dyDescent="0.25">
      <c r="A93" s="32" t="s">
        <v>366</v>
      </c>
      <c r="B93" s="32" t="s">
        <v>317</v>
      </c>
      <c r="C93" s="32" t="s">
        <v>317</v>
      </c>
      <c r="D93" s="32" t="s">
        <v>80</v>
      </c>
      <c r="E93" s="32" t="s">
        <v>479</v>
      </c>
      <c r="F93" s="32" t="s">
        <v>474</v>
      </c>
      <c r="G93" s="32">
        <v>8</v>
      </c>
      <c r="H93" s="32" t="s">
        <v>505</v>
      </c>
      <c r="I93" s="32" t="s">
        <v>492</v>
      </c>
      <c r="J93" s="34">
        <v>80</v>
      </c>
      <c r="K93" s="61">
        <f t="shared" si="4"/>
        <v>80</v>
      </c>
      <c r="L93" s="41"/>
      <c r="M93" s="32"/>
      <c r="N93" s="32"/>
      <c r="O93" s="32"/>
      <c r="P93" s="32"/>
      <c r="Q93" s="32"/>
      <c r="R93" s="32"/>
      <c r="S93" s="32"/>
      <c r="T93" s="32"/>
      <c r="U93" s="32"/>
      <c r="V93" s="32"/>
      <c r="W93" s="32"/>
      <c r="X93" s="32"/>
      <c r="Y93" s="32"/>
      <c r="Z93" s="90"/>
      <c r="AA93" s="62">
        <f t="shared" si="5"/>
        <v>0</v>
      </c>
      <c r="AB93" s="32"/>
      <c r="AC93" s="32">
        <v>1</v>
      </c>
      <c r="AD93" s="32"/>
      <c r="AE93" s="36"/>
      <c r="AF93" s="32"/>
      <c r="AG93" s="32"/>
      <c r="AH93" s="34"/>
      <c r="AI93" s="41"/>
      <c r="AJ93" s="33"/>
      <c r="AK93" s="36"/>
    </row>
    <row r="94" spans="1:37" x14ac:dyDescent="0.25">
      <c r="A94" s="32" t="s">
        <v>367</v>
      </c>
      <c r="B94" s="32" t="s">
        <v>317</v>
      </c>
      <c r="C94" s="32" t="s">
        <v>317</v>
      </c>
      <c r="D94" s="32" t="s">
        <v>80</v>
      </c>
      <c r="E94" s="32" t="s">
        <v>480</v>
      </c>
      <c r="F94" s="32" t="s">
        <v>401</v>
      </c>
      <c r="G94" s="32">
        <v>8</v>
      </c>
      <c r="H94" s="32" t="s">
        <v>507</v>
      </c>
      <c r="I94" s="32" t="s">
        <v>481</v>
      </c>
      <c r="J94" s="34">
        <v>173</v>
      </c>
      <c r="K94" s="61">
        <f t="shared" si="4"/>
        <v>173</v>
      </c>
      <c r="L94" s="41"/>
      <c r="M94" s="32"/>
      <c r="N94" s="32"/>
      <c r="O94" s="32"/>
      <c r="P94" s="32"/>
      <c r="Q94" s="32"/>
      <c r="R94" s="32"/>
      <c r="S94" s="32"/>
      <c r="T94" s="32"/>
      <c r="U94" s="32"/>
      <c r="V94" s="32"/>
      <c r="W94" s="32"/>
      <c r="X94" s="32"/>
      <c r="Y94" s="32"/>
      <c r="Z94" s="90"/>
      <c r="AA94" s="62">
        <f t="shared" si="5"/>
        <v>0</v>
      </c>
      <c r="AB94" s="32"/>
      <c r="AC94" s="32">
        <v>0</v>
      </c>
      <c r="AD94" s="32"/>
      <c r="AE94" s="36"/>
      <c r="AF94" s="32"/>
      <c r="AG94" s="32"/>
      <c r="AH94" s="34"/>
      <c r="AI94" s="41"/>
      <c r="AJ94" s="33"/>
      <c r="AK94" s="36"/>
    </row>
    <row r="95" spans="1:37" ht="30" x14ac:dyDescent="0.25">
      <c r="A95" s="32" t="s">
        <v>827</v>
      </c>
      <c r="B95" s="32" t="s">
        <v>225</v>
      </c>
      <c r="C95" s="32" t="s">
        <v>225</v>
      </c>
      <c r="D95" s="32" t="s">
        <v>217</v>
      </c>
      <c r="E95" s="32" t="s">
        <v>174</v>
      </c>
      <c r="F95" s="32" t="s">
        <v>175</v>
      </c>
      <c r="G95" s="32">
        <v>8</v>
      </c>
      <c r="H95" s="32" t="s">
        <v>209</v>
      </c>
      <c r="I95" s="32" t="s">
        <v>206</v>
      </c>
      <c r="J95" s="34">
        <v>106</v>
      </c>
      <c r="K95" s="61">
        <f t="shared" si="4"/>
        <v>106</v>
      </c>
      <c r="L95" s="41"/>
      <c r="M95" s="32"/>
      <c r="N95" s="32"/>
      <c r="O95" s="32"/>
      <c r="P95" s="32"/>
      <c r="Q95" s="32"/>
      <c r="R95" s="32"/>
      <c r="S95" s="32"/>
      <c r="T95" s="32"/>
      <c r="U95" s="32"/>
      <c r="V95" s="32"/>
      <c r="W95" s="32"/>
      <c r="X95" s="32"/>
      <c r="Y95" s="32"/>
      <c r="Z95" s="90"/>
      <c r="AA95" s="62">
        <f t="shared" si="5"/>
        <v>0</v>
      </c>
      <c r="AB95" s="32"/>
      <c r="AC95" s="32">
        <v>1</v>
      </c>
      <c r="AD95" s="32"/>
      <c r="AE95" s="36"/>
      <c r="AF95" s="32"/>
      <c r="AG95" s="32"/>
      <c r="AH95" s="34"/>
      <c r="AI95" s="41"/>
      <c r="AJ95" s="33"/>
      <c r="AK95" s="36"/>
    </row>
    <row r="96" spans="1:37" x14ac:dyDescent="0.25">
      <c r="A96" s="32" t="s">
        <v>828</v>
      </c>
      <c r="B96" s="32" t="s">
        <v>226</v>
      </c>
      <c r="C96" s="32" t="s">
        <v>226</v>
      </c>
      <c r="D96" s="32" t="s">
        <v>218</v>
      </c>
      <c r="E96" s="32" t="s">
        <v>176</v>
      </c>
      <c r="F96" s="32" t="s">
        <v>175</v>
      </c>
      <c r="G96" s="32">
        <v>18</v>
      </c>
      <c r="H96" s="32" t="s">
        <v>210</v>
      </c>
      <c r="I96" s="32" t="s">
        <v>206</v>
      </c>
      <c r="J96" s="34">
        <v>358</v>
      </c>
      <c r="K96" s="61">
        <f t="shared" si="4"/>
        <v>358</v>
      </c>
      <c r="L96" s="41"/>
      <c r="M96" s="32"/>
      <c r="N96" s="32"/>
      <c r="O96" s="32"/>
      <c r="P96" s="32"/>
      <c r="Q96" s="32"/>
      <c r="R96" s="32"/>
      <c r="S96" s="32"/>
      <c r="T96" s="32"/>
      <c r="U96" s="32"/>
      <c r="V96" s="32"/>
      <c r="W96" s="32"/>
      <c r="X96" s="32"/>
      <c r="Y96" s="32"/>
      <c r="Z96" s="90"/>
      <c r="AA96" s="62">
        <f t="shared" si="5"/>
        <v>0</v>
      </c>
      <c r="AB96" s="32"/>
      <c r="AC96" s="32">
        <v>5</v>
      </c>
      <c r="AD96" s="32"/>
      <c r="AE96" s="36"/>
      <c r="AF96" s="32"/>
      <c r="AG96" s="32"/>
      <c r="AH96" s="34"/>
      <c r="AI96" s="41"/>
      <c r="AJ96" s="33"/>
      <c r="AK96" s="36"/>
    </row>
    <row r="97" spans="1:37" x14ac:dyDescent="0.25">
      <c r="A97" s="32" t="s">
        <v>829</v>
      </c>
      <c r="B97" s="32" t="s">
        <v>227</v>
      </c>
      <c r="C97" s="32" t="s">
        <v>227</v>
      </c>
      <c r="D97" s="32" t="s">
        <v>219</v>
      </c>
      <c r="E97" s="32" t="s">
        <v>177</v>
      </c>
      <c r="F97" s="32" t="s">
        <v>174</v>
      </c>
      <c r="G97" s="32">
        <v>8</v>
      </c>
      <c r="H97" s="32" t="s">
        <v>210</v>
      </c>
      <c r="I97" s="32" t="s">
        <v>206</v>
      </c>
      <c r="J97" s="34">
        <v>361</v>
      </c>
      <c r="K97" s="61">
        <f t="shared" si="4"/>
        <v>361</v>
      </c>
      <c r="L97" s="41"/>
      <c r="M97" s="32"/>
      <c r="N97" s="32"/>
      <c r="O97" s="32"/>
      <c r="P97" s="32"/>
      <c r="Q97" s="32"/>
      <c r="R97" s="32"/>
      <c r="S97" s="32"/>
      <c r="T97" s="32"/>
      <c r="U97" s="32"/>
      <c r="V97" s="32"/>
      <c r="W97" s="32"/>
      <c r="X97" s="32"/>
      <c r="Y97" s="32"/>
      <c r="Z97" s="90"/>
      <c r="AA97" s="62">
        <f t="shared" si="5"/>
        <v>0</v>
      </c>
      <c r="AB97" s="32"/>
      <c r="AC97" s="32">
        <v>7</v>
      </c>
      <c r="AD97" s="32"/>
      <c r="AE97" s="36"/>
      <c r="AF97" s="32"/>
      <c r="AG97" s="32"/>
      <c r="AH97" s="34"/>
      <c r="AI97" s="41"/>
      <c r="AJ97" s="33"/>
      <c r="AK97" s="36"/>
    </row>
    <row r="98" spans="1:37" x14ac:dyDescent="0.25">
      <c r="A98" s="32" t="s">
        <v>830</v>
      </c>
      <c r="B98" s="32" t="s">
        <v>228</v>
      </c>
      <c r="C98" s="32" t="s">
        <v>228</v>
      </c>
      <c r="D98" s="32" t="s">
        <v>218</v>
      </c>
      <c r="E98" s="32" t="s">
        <v>178</v>
      </c>
      <c r="F98" s="32" t="s">
        <v>176</v>
      </c>
      <c r="G98" s="32">
        <v>18</v>
      </c>
      <c r="H98" s="32" t="s">
        <v>210</v>
      </c>
      <c r="I98" s="32" t="s">
        <v>206</v>
      </c>
      <c r="J98" s="34">
        <v>143</v>
      </c>
      <c r="K98" s="61">
        <f t="shared" si="4"/>
        <v>143</v>
      </c>
      <c r="L98" s="41"/>
      <c r="M98" s="32"/>
      <c r="N98" s="32"/>
      <c r="O98" s="32"/>
      <c r="P98" s="32"/>
      <c r="Q98" s="32"/>
      <c r="R98" s="32"/>
      <c r="S98" s="32"/>
      <c r="T98" s="32"/>
      <c r="U98" s="32"/>
      <c r="V98" s="32"/>
      <c r="W98" s="32"/>
      <c r="X98" s="32"/>
      <c r="Y98" s="32"/>
      <c r="Z98" s="90"/>
      <c r="AA98" s="62">
        <f t="shared" si="5"/>
        <v>0</v>
      </c>
      <c r="AB98" s="32"/>
      <c r="AC98" s="32">
        <v>2</v>
      </c>
      <c r="AD98" s="32"/>
      <c r="AE98" s="36"/>
      <c r="AF98" s="32"/>
      <c r="AG98" s="32"/>
      <c r="AH98" s="34"/>
      <c r="AI98" s="41"/>
      <c r="AJ98" s="33"/>
      <c r="AK98" s="36"/>
    </row>
    <row r="99" spans="1:37" x14ac:dyDescent="0.25">
      <c r="A99" s="32" t="s">
        <v>831</v>
      </c>
      <c r="B99" s="32" t="s">
        <v>229</v>
      </c>
      <c r="C99" s="32" t="s">
        <v>229</v>
      </c>
      <c r="D99" s="32" t="s">
        <v>218</v>
      </c>
      <c r="E99" s="32" t="s">
        <v>179</v>
      </c>
      <c r="F99" s="32" t="s">
        <v>178</v>
      </c>
      <c r="G99" s="32">
        <v>15</v>
      </c>
      <c r="H99" s="32" t="s">
        <v>210</v>
      </c>
      <c r="I99" s="32" t="s">
        <v>206</v>
      </c>
      <c r="J99" s="34">
        <v>285</v>
      </c>
      <c r="K99" s="61">
        <f t="shared" ref="K99:K130" si="6">IF(N99&gt;0,N99,J99)</f>
        <v>285</v>
      </c>
      <c r="L99" s="41"/>
      <c r="M99" s="32"/>
      <c r="N99" s="32"/>
      <c r="O99" s="32"/>
      <c r="P99" s="32"/>
      <c r="Q99" s="32"/>
      <c r="R99" s="32"/>
      <c r="S99" s="32"/>
      <c r="T99" s="32"/>
      <c r="U99" s="32"/>
      <c r="V99" s="32"/>
      <c r="W99" s="32"/>
      <c r="X99" s="32"/>
      <c r="Y99" s="32"/>
      <c r="Z99" s="90"/>
      <c r="AA99" s="62">
        <f t="shared" ref="AA99:AA130" si="7">IF(Z99&gt;0,K99,0)</f>
        <v>0</v>
      </c>
      <c r="AB99" s="32"/>
      <c r="AC99" s="32">
        <v>3</v>
      </c>
      <c r="AD99" s="32"/>
      <c r="AE99" s="36"/>
      <c r="AF99" s="32"/>
      <c r="AG99" s="32"/>
      <c r="AH99" s="34"/>
      <c r="AI99" s="41"/>
      <c r="AJ99" s="33"/>
      <c r="AK99" s="36"/>
    </row>
    <row r="100" spans="1:37" ht="30" x14ac:dyDescent="0.25">
      <c r="A100" s="32" t="s">
        <v>832</v>
      </c>
      <c r="B100" s="32" t="s">
        <v>230</v>
      </c>
      <c r="C100" s="32" t="s">
        <v>230</v>
      </c>
      <c r="D100" s="32" t="s">
        <v>220</v>
      </c>
      <c r="E100" s="32" t="s">
        <v>180</v>
      </c>
      <c r="F100" s="32" t="s">
        <v>177</v>
      </c>
      <c r="G100" s="32">
        <v>8</v>
      </c>
      <c r="H100" s="32" t="s">
        <v>211</v>
      </c>
      <c r="I100" s="32" t="s">
        <v>206</v>
      </c>
      <c r="J100" s="34">
        <v>339</v>
      </c>
      <c r="K100" s="61">
        <f t="shared" si="6"/>
        <v>339</v>
      </c>
      <c r="L100" s="41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90"/>
      <c r="AA100" s="62">
        <f t="shared" si="7"/>
        <v>0</v>
      </c>
      <c r="AB100" s="32"/>
      <c r="AC100" s="32">
        <v>7</v>
      </c>
      <c r="AD100" s="32"/>
      <c r="AE100" s="36"/>
      <c r="AF100" s="32"/>
      <c r="AG100" s="32"/>
      <c r="AH100" s="34"/>
      <c r="AI100" s="41"/>
      <c r="AJ100" s="33"/>
      <c r="AK100" s="36"/>
    </row>
    <row r="101" spans="1:37" ht="30" x14ac:dyDescent="0.25">
      <c r="A101" s="32" t="s">
        <v>833</v>
      </c>
      <c r="B101" s="32" t="s">
        <v>231</v>
      </c>
      <c r="C101" s="32" t="s">
        <v>231</v>
      </c>
      <c r="D101" s="32" t="s">
        <v>221</v>
      </c>
      <c r="E101" s="32" t="s">
        <v>181</v>
      </c>
      <c r="F101" s="32" t="s">
        <v>180</v>
      </c>
      <c r="G101" s="32">
        <v>8</v>
      </c>
      <c r="H101" s="32" t="s">
        <v>211</v>
      </c>
      <c r="I101" s="32" t="s">
        <v>206</v>
      </c>
      <c r="J101" s="34">
        <v>245</v>
      </c>
      <c r="K101" s="61">
        <f t="shared" si="6"/>
        <v>245</v>
      </c>
      <c r="L101" s="41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90"/>
      <c r="AA101" s="62">
        <f t="shared" si="7"/>
        <v>0</v>
      </c>
      <c r="AB101" s="32"/>
      <c r="AC101" s="32">
        <v>2</v>
      </c>
      <c r="AD101" s="32"/>
      <c r="AE101" s="36"/>
      <c r="AF101" s="32"/>
      <c r="AG101" s="32"/>
      <c r="AH101" s="34"/>
      <c r="AI101" s="41"/>
      <c r="AJ101" s="33"/>
      <c r="AK101" s="36"/>
    </row>
    <row r="102" spans="1:37" x14ac:dyDescent="0.25">
      <c r="A102" s="32" t="s">
        <v>834</v>
      </c>
      <c r="B102" s="32" t="s">
        <v>232</v>
      </c>
      <c r="C102" s="32" t="s">
        <v>232</v>
      </c>
      <c r="D102" s="32" t="s">
        <v>221</v>
      </c>
      <c r="E102" s="32" t="s">
        <v>182</v>
      </c>
      <c r="F102" s="32" t="s">
        <v>181</v>
      </c>
      <c r="G102" s="32">
        <v>8</v>
      </c>
      <c r="H102" s="32" t="s">
        <v>212</v>
      </c>
      <c r="I102" s="32" t="s">
        <v>206</v>
      </c>
      <c r="J102" s="34">
        <v>110</v>
      </c>
      <c r="K102" s="61">
        <f t="shared" si="6"/>
        <v>110</v>
      </c>
      <c r="L102" s="41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90"/>
      <c r="AA102" s="62">
        <f t="shared" si="7"/>
        <v>0</v>
      </c>
      <c r="AB102" s="32"/>
      <c r="AC102" s="32">
        <v>0</v>
      </c>
      <c r="AD102" s="32"/>
      <c r="AE102" s="36"/>
      <c r="AF102" s="32"/>
      <c r="AG102" s="32"/>
      <c r="AH102" s="34"/>
      <c r="AI102" s="41"/>
      <c r="AJ102" s="33"/>
      <c r="AK102" s="36"/>
    </row>
    <row r="103" spans="1:37" ht="30" x14ac:dyDescent="0.25">
      <c r="A103" s="32" t="s">
        <v>835</v>
      </c>
      <c r="B103" s="32" t="s">
        <v>233</v>
      </c>
      <c r="C103" s="32" t="s">
        <v>233</v>
      </c>
      <c r="D103" s="32" t="s">
        <v>221</v>
      </c>
      <c r="E103" s="32" t="s">
        <v>183</v>
      </c>
      <c r="F103" s="32" t="s">
        <v>182</v>
      </c>
      <c r="G103" s="32">
        <v>8</v>
      </c>
      <c r="H103" s="32" t="s">
        <v>212</v>
      </c>
      <c r="I103" s="32" t="s">
        <v>206</v>
      </c>
      <c r="J103" s="34">
        <v>182</v>
      </c>
      <c r="K103" s="61">
        <f t="shared" si="6"/>
        <v>182</v>
      </c>
      <c r="L103" s="41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90"/>
      <c r="AA103" s="62">
        <f t="shared" si="7"/>
        <v>0</v>
      </c>
      <c r="AB103" s="32"/>
      <c r="AC103" s="32">
        <v>4</v>
      </c>
      <c r="AD103" s="32"/>
      <c r="AE103" s="36"/>
      <c r="AF103" s="32"/>
      <c r="AG103" s="32"/>
      <c r="AH103" s="34"/>
      <c r="AI103" s="41"/>
      <c r="AJ103" s="33"/>
      <c r="AK103" s="36"/>
    </row>
    <row r="104" spans="1:37" ht="30" x14ac:dyDescent="0.25">
      <c r="A104" s="32" t="s">
        <v>836</v>
      </c>
      <c r="B104" s="32" t="s">
        <v>234</v>
      </c>
      <c r="C104" s="32" t="s">
        <v>234</v>
      </c>
      <c r="D104" s="32" t="s">
        <v>221</v>
      </c>
      <c r="E104" s="32" t="s">
        <v>184</v>
      </c>
      <c r="F104" s="32" t="s">
        <v>181</v>
      </c>
      <c r="G104" s="32">
        <v>8</v>
      </c>
      <c r="H104" s="32" t="s">
        <v>211</v>
      </c>
      <c r="I104" s="32" t="s">
        <v>206</v>
      </c>
      <c r="J104" s="34">
        <v>393</v>
      </c>
      <c r="K104" s="61">
        <f t="shared" si="6"/>
        <v>393</v>
      </c>
      <c r="L104" s="41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90"/>
      <c r="AA104" s="62">
        <f t="shared" si="7"/>
        <v>0</v>
      </c>
      <c r="AB104" s="32"/>
      <c r="AC104" s="32">
        <v>5</v>
      </c>
      <c r="AD104" s="32"/>
      <c r="AE104" s="36"/>
      <c r="AF104" s="32"/>
      <c r="AG104" s="32"/>
      <c r="AH104" s="34"/>
      <c r="AI104" s="41"/>
      <c r="AJ104" s="33"/>
      <c r="AK104" s="36"/>
    </row>
    <row r="105" spans="1:37" x14ac:dyDescent="0.25">
      <c r="A105" s="32" t="s">
        <v>837</v>
      </c>
      <c r="B105" s="32" t="s">
        <v>235</v>
      </c>
      <c r="C105" s="32" t="s">
        <v>235</v>
      </c>
      <c r="D105" s="32" t="s">
        <v>221</v>
      </c>
      <c r="E105" s="32" t="s">
        <v>185</v>
      </c>
      <c r="F105" s="32" t="s">
        <v>182</v>
      </c>
      <c r="G105" s="32">
        <v>8</v>
      </c>
      <c r="H105" s="32" t="s">
        <v>211</v>
      </c>
      <c r="I105" s="32" t="s">
        <v>206</v>
      </c>
      <c r="J105" s="34">
        <v>325</v>
      </c>
      <c r="K105" s="61">
        <f t="shared" si="6"/>
        <v>325</v>
      </c>
      <c r="L105" s="41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90"/>
      <c r="AA105" s="62">
        <f t="shared" si="7"/>
        <v>0</v>
      </c>
      <c r="AB105" s="32"/>
      <c r="AC105" s="32">
        <v>3</v>
      </c>
      <c r="AD105" s="32"/>
      <c r="AE105" s="36"/>
      <c r="AF105" s="32"/>
      <c r="AG105" s="32"/>
      <c r="AH105" s="34"/>
      <c r="AI105" s="41"/>
      <c r="AJ105" s="33"/>
      <c r="AK105" s="36"/>
    </row>
    <row r="106" spans="1:37" x14ac:dyDescent="0.25">
      <c r="A106" s="32" t="s">
        <v>838</v>
      </c>
      <c r="B106" s="32" t="s">
        <v>227</v>
      </c>
      <c r="C106" s="32" t="s">
        <v>227</v>
      </c>
      <c r="D106" s="32" t="s">
        <v>222</v>
      </c>
      <c r="E106" s="32" t="s">
        <v>186</v>
      </c>
      <c r="F106" s="32" t="s">
        <v>187</v>
      </c>
      <c r="G106" s="32">
        <v>8</v>
      </c>
      <c r="H106" s="32" t="s">
        <v>211</v>
      </c>
      <c r="I106" s="32" t="s">
        <v>206</v>
      </c>
      <c r="J106" s="34">
        <v>152</v>
      </c>
      <c r="K106" s="61">
        <f t="shared" si="6"/>
        <v>152</v>
      </c>
      <c r="L106" s="41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90"/>
      <c r="AA106" s="62">
        <f t="shared" si="7"/>
        <v>0</v>
      </c>
      <c r="AB106" s="32"/>
      <c r="AC106" s="32">
        <v>2</v>
      </c>
      <c r="AD106" s="32"/>
      <c r="AE106" s="36"/>
      <c r="AF106" s="32"/>
      <c r="AG106" s="32"/>
      <c r="AH106" s="34"/>
      <c r="AI106" s="41"/>
      <c r="AJ106" s="33"/>
      <c r="AK106" s="36"/>
    </row>
    <row r="107" spans="1:37" x14ac:dyDescent="0.25">
      <c r="A107" s="32" t="s">
        <v>839</v>
      </c>
      <c r="B107" s="32" t="s">
        <v>236</v>
      </c>
      <c r="C107" s="32" t="s">
        <v>236</v>
      </c>
      <c r="D107" s="32" t="s">
        <v>218</v>
      </c>
      <c r="E107" s="32" t="s">
        <v>188</v>
      </c>
      <c r="F107" s="32" t="s">
        <v>179</v>
      </c>
      <c r="G107" s="32">
        <v>8</v>
      </c>
      <c r="H107" s="32" t="s">
        <v>210</v>
      </c>
      <c r="I107" s="32" t="s">
        <v>206</v>
      </c>
      <c r="J107" s="34">
        <v>113</v>
      </c>
      <c r="K107" s="61">
        <f t="shared" si="6"/>
        <v>113</v>
      </c>
      <c r="L107" s="41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90"/>
      <c r="AA107" s="62">
        <f t="shared" si="7"/>
        <v>0</v>
      </c>
      <c r="AB107" s="32"/>
      <c r="AC107" s="32">
        <v>0</v>
      </c>
      <c r="AD107" s="32"/>
      <c r="AE107" s="36"/>
      <c r="AF107" s="32"/>
      <c r="AG107" s="32"/>
      <c r="AH107" s="34"/>
      <c r="AI107" s="41"/>
      <c r="AJ107" s="33"/>
      <c r="AK107" s="36"/>
    </row>
    <row r="108" spans="1:37" x14ac:dyDescent="0.25">
      <c r="A108" s="32" t="s">
        <v>840</v>
      </c>
      <c r="B108" s="32" t="s">
        <v>237</v>
      </c>
      <c r="C108" s="32" t="s">
        <v>237</v>
      </c>
      <c r="D108" s="32" t="s">
        <v>221</v>
      </c>
      <c r="E108" s="32" t="s">
        <v>189</v>
      </c>
      <c r="F108" s="32" t="s">
        <v>184</v>
      </c>
      <c r="G108" s="32">
        <v>8</v>
      </c>
      <c r="H108" s="32" t="s">
        <v>211</v>
      </c>
      <c r="I108" s="32" t="s">
        <v>206</v>
      </c>
      <c r="J108" s="34">
        <v>268</v>
      </c>
      <c r="K108" s="61">
        <f t="shared" si="6"/>
        <v>268</v>
      </c>
      <c r="L108" s="41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90"/>
      <c r="AA108" s="62">
        <f t="shared" si="7"/>
        <v>0</v>
      </c>
      <c r="AB108" s="32"/>
      <c r="AC108" s="32">
        <v>4</v>
      </c>
      <c r="AD108" s="32"/>
      <c r="AE108" s="36"/>
      <c r="AF108" s="32"/>
      <c r="AG108" s="32"/>
      <c r="AH108" s="34"/>
      <c r="AI108" s="41"/>
      <c r="AJ108" s="33"/>
      <c r="AK108" s="36"/>
    </row>
    <row r="109" spans="1:37" x14ac:dyDescent="0.25">
      <c r="A109" s="32" t="s">
        <v>841</v>
      </c>
      <c r="B109" s="32" t="s">
        <v>238</v>
      </c>
      <c r="C109" s="32" t="s">
        <v>238</v>
      </c>
      <c r="D109" s="32" t="s">
        <v>223</v>
      </c>
      <c r="E109" s="32" t="s">
        <v>190</v>
      </c>
      <c r="F109" s="32" t="s">
        <v>183</v>
      </c>
      <c r="G109" s="32">
        <v>8</v>
      </c>
      <c r="H109" s="32" t="s">
        <v>212</v>
      </c>
      <c r="I109" s="32" t="s">
        <v>206</v>
      </c>
      <c r="J109" s="34">
        <v>201</v>
      </c>
      <c r="K109" s="61">
        <f t="shared" si="6"/>
        <v>201</v>
      </c>
      <c r="L109" s="41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90"/>
      <c r="AA109" s="62">
        <f t="shared" si="7"/>
        <v>0</v>
      </c>
      <c r="AB109" s="32"/>
      <c r="AC109" s="32">
        <v>0</v>
      </c>
      <c r="AD109" s="32"/>
      <c r="AE109" s="36"/>
      <c r="AF109" s="32"/>
      <c r="AG109" s="32"/>
      <c r="AH109" s="34"/>
      <c r="AI109" s="41"/>
      <c r="AJ109" s="33"/>
      <c r="AK109" s="36"/>
    </row>
    <row r="110" spans="1:37" ht="30" x14ac:dyDescent="0.25">
      <c r="A110" s="32" t="s">
        <v>842</v>
      </c>
      <c r="B110" s="32" t="s">
        <v>239</v>
      </c>
      <c r="C110" s="32" t="s">
        <v>239</v>
      </c>
      <c r="D110" s="32" t="s">
        <v>223</v>
      </c>
      <c r="E110" s="32" t="s">
        <v>191</v>
      </c>
      <c r="F110" s="32" t="s">
        <v>190</v>
      </c>
      <c r="G110" s="32">
        <v>8</v>
      </c>
      <c r="H110" s="32" t="s">
        <v>212</v>
      </c>
      <c r="I110" s="32" t="s">
        <v>206</v>
      </c>
      <c r="J110" s="34">
        <v>164</v>
      </c>
      <c r="K110" s="61">
        <f t="shared" si="6"/>
        <v>164</v>
      </c>
      <c r="L110" s="41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90"/>
      <c r="AA110" s="62">
        <f t="shared" si="7"/>
        <v>0</v>
      </c>
      <c r="AB110" s="32"/>
      <c r="AC110" s="32">
        <v>4</v>
      </c>
      <c r="AD110" s="32"/>
      <c r="AE110" s="36"/>
      <c r="AF110" s="32"/>
      <c r="AG110" s="32"/>
      <c r="AH110" s="34"/>
      <c r="AI110" s="41"/>
      <c r="AJ110" s="33"/>
      <c r="AK110" s="36"/>
    </row>
    <row r="111" spans="1:37" ht="30" x14ac:dyDescent="0.25">
      <c r="A111" s="32" t="s">
        <v>843</v>
      </c>
      <c r="B111" s="32" t="s">
        <v>240</v>
      </c>
      <c r="C111" s="32" t="s">
        <v>240</v>
      </c>
      <c r="D111" s="32" t="s">
        <v>221</v>
      </c>
      <c r="E111" s="32" t="s">
        <v>192</v>
      </c>
      <c r="F111" s="32" t="s">
        <v>189</v>
      </c>
      <c r="G111" s="32">
        <v>8</v>
      </c>
      <c r="H111" s="32" t="s">
        <v>211</v>
      </c>
      <c r="I111" s="32" t="s">
        <v>206</v>
      </c>
      <c r="J111" s="34">
        <v>191</v>
      </c>
      <c r="K111" s="61">
        <f t="shared" si="6"/>
        <v>191</v>
      </c>
      <c r="L111" s="41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90"/>
      <c r="AA111" s="62">
        <f t="shared" si="7"/>
        <v>0</v>
      </c>
      <c r="AB111" s="32"/>
      <c r="AC111" s="32">
        <v>4</v>
      </c>
      <c r="AD111" s="32"/>
      <c r="AE111" s="36"/>
      <c r="AF111" s="32"/>
      <c r="AG111" s="32"/>
      <c r="AH111" s="34"/>
      <c r="AI111" s="41"/>
      <c r="AJ111" s="33"/>
      <c r="AK111" s="36"/>
    </row>
    <row r="112" spans="1:37" ht="30" x14ac:dyDescent="0.25">
      <c r="A112" s="32" t="s">
        <v>844</v>
      </c>
      <c r="B112" s="32" t="s">
        <v>241</v>
      </c>
      <c r="C112" s="32" t="s">
        <v>241</v>
      </c>
      <c r="D112" s="32" t="s">
        <v>223</v>
      </c>
      <c r="E112" s="32" t="s">
        <v>193</v>
      </c>
      <c r="F112" s="32" t="s">
        <v>194</v>
      </c>
      <c r="G112" s="32">
        <v>8</v>
      </c>
      <c r="H112" s="32" t="s">
        <v>213</v>
      </c>
      <c r="I112" s="32" t="s">
        <v>207</v>
      </c>
      <c r="J112" s="34">
        <v>239</v>
      </c>
      <c r="K112" s="61">
        <f t="shared" si="6"/>
        <v>239</v>
      </c>
      <c r="L112" s="41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90"/>
      <c r="AA112" s="62">
        <f t="shared" si="7"/>
        <v>0</v>
      </c>
      <c r="AB112" s="32"/>
      <c r="AC112" s="32">
        <v>4</v>
      </c>
      <c r="AD112" s="32"/>
      <c r="AE112" s="36"/>
      <c r="AF112" s="32"/>
      <c r="AG112" s="32"/>
      <c r="AH112" s="34"/>
      <c r="AI112" s="41"/>
      <c r="AJ112" s="33"/>
      <c r="AK112" s="36"/>
    </row>
    <row r="113" spans="1:37" x14ac:dyDescent="0.25">
      <c r="A113" s="32" t="s">
        <v>845</v>
      </c>
      <c r="B113" s="32" t="s">
        <v>242</v>
      </c>
      <c r="C113" s="32" t="s">
        <v>242</v>
      </c>
      <c r="D113" s="32" t="s">
        <v>223</v>
      </c>
      <c r="E113" s="32" t="s">
        <v>195</v>
      </c>
      <c r="F113" s="32" t="s">
        <v>196</v>
      </c>
      <c r="G113" s="32">
        <v>8</v>
      </c>
      <c r="H113" s="32" t="s">
        <v>214</v>
      </c>
      <c r="I113" s="32" t="s">
        <v>208</v>
      </c>
      <c r="J113" s="34">
        <v>61</v>
      </c>
      <c r="K113" s="61">
        <f t="shared" si="6"/>
        <v>61</v>
      </c>
      <c r="L113" s="41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90"/>
      <c r="AA113" s="62">
        <f t="shared" si="7"/>
        <v>0</v>
      </c>
      <c r="AB113" s="32"/>
      <c r="AC113" s="32">
        <v>0</v>
      </c>
      <c r="AD113" s="32"/>
      <c r="AE113" s="36"/>
      <c r="AF113" s="32"/>
      <c r="AG113" s="32"/>
      <c r="AH113" s="34"/>
      <c r="AI113" s="41"/>
      <c r="AJ113" s="33"/>
      <c r="AK113" s="36"/>
    </row>
    <row r="114" spans="1:37" x14ac:dyDescent="0.25">
      <c r="A114" s="32" t="s">
        <v>846</v>
      </c>
      <c r="B114" s="32" t="s">
        <v>243</v>
      </c>
      <c r="C114" s="32" t="s">
        <v>243</v>
      </c>
      <c r="D114" s="32" t="s">
        <v>224</v>
      </c>
      <c r="E114" s="32" t="s">
        <v>197</v>
      </c>
      <c r="F114" s="32" t="s">
        <v>195</v>
      </c>
      <c r="G114" s="32">
        <v>8</v>
      </c>
      <c r="H114" s="32" t="s">
        <v>214</v>
      </c>
      <c r="I114" s="32" t="s">
        <v>208</v>
      </c>
      <c r="J114" s="34">
        <v>141</v>
      </c>
      <c r="K114" s="61">
        <f t="shared" si="6"/>
        <v>141</v>
      </c>
      <c r="L114" s="41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90"/>
      <c r="AA114" s="62">
        <f t="shared" si="7"/>
        <v>0</v>
      </c>
      <c r="AB114" s="32"/>
      <c r="AC114" s="32">
        <v>1</v>
      </c>
      <c r="AD114" s="32"/>
      <c r="AE114" s="36"/>
      <c r="AF114" s="32"/>
      <c r="AG114" s="32"/>
      <c r="AH114" s="34"/>
      <c r="AI114" s="41"/>
      <c r="AJ114" s="33"/>
      <c r="AK114" s="36"/>
    </row>
    <row r="115" spans="1:37" x14ac:dyDescent="0.25">
      <c r="A115" s="32" t="s">
        <v>847</v>
      </c>
      <c r="B115" s="32" t="s">
        <v>225</v>
      </c>
      <c r="C115" s="32" t="s">
        <v>225</v>
      </c>
      <c r="D115" s="32" t="s">
        <v>223</v>
      </c>
      <c r="E115" s="32" t="s">
        <v>198</v>
      </c>
      <c r="F115" s="32" t="s">
        <v>197</v>
      </c>
      <c r="G115" s="32">
        <v>8</v>
      </c>
      <c r="H115" s="32" t="s">
        <v>214</v>
      </c>
      <c r="I115" s="32" t="s">
        <v>208</v>
      </c>
      <c r="J115" s="34">
        <v>136</v>
      </c>
      <c r="K115" s="61">
        <f t="shared" si="6"/>
        <v>136</v>
      </c>
      <c r="L115" s="41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90"/>
      <c r="AA115" s="62">
        <f t="shared" si="7"/>
        <v>0</v>
      </c>
      <c r="AB115" s="32"/>
      <c r="AC115" s="32">
        <v>1</v>
      </c>
      <c r="AD115" s="32"/>
      <c r="AE115" s="36"/>
      <c r="AF115" s="32"/>
      <c r="AG115" s="32"/>
      <c r="AH115" s="34"/>
      <c r="AI115" s="41"/>
      <c r="AJ115" s="33"/>
      <c r="AK115" s="36"/>
    </row>
    <row r="116" spans="1:37" x14ac:dyDescent="0.25">
      <c r="A116" s="32" t="s">
        <v>848</v>
      </c>
      <c r="B116" s="32" t="s">
        <v>243</v>
      </c>
      <c r="C116" s="32" t="s">
        <v>243</v>
      </c>
      <c r="D116" s="32" t="s">
        <v>224</v>
      </c>
      <c r="E116" s="32" t="s">
        <v>199</v>
      </c>
      <c r="F116" s="32" t="s">
        <v>198</v>
      </c>
      <c r="G116" s="32">
        <v>8</v>
      </c>
      <c r="H116" s="32" t="s">
        <v>214</v>
      </c>
      <c r="I116" s="32" t="s">
        <v>208</v>
      </c>
      <c r="J116" s="34">
        <v>128</v>
      </c>
      <c r="K116" s="61">
        <f t="shared" si="6"/>
        <v>128</v>
      </c>
      <c r="L116" s="41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90"/>
      <c r="AA116" s="62">
        <f t="shared" si="7"/>
        <v>0</v>
      </c>
      <c r="AB116" s="32"/>
      <c r="AC116" s="32">
        <v>1</v>
      </c>
      <c r="AD116" s="32"/>
      <c r="AE116" s="36"/>
      <c r="AF116" s="32"/>
      <c r="AG116" s="32"/>
      <c r="AH116" s="34"/>
      <c r="AI116" s="41"/>
      <c r="AJ116" s="33"/>
      <c r="AK116" s="36"/>
    </row>
    <row r="117" spans="1:37" x14ac:dyDescent="0.25">
      <c r="A117" s="32" t="s">
        <v>849</v>
      </c>
      <c r="B117" s="32" t="s">
        <v>227</v>
      </c>
      <c r="C117" s="32" t="s">
        <v>227</v>
      </c>
      <c r="D117" s="32" t="s">
        <v>223</v>
      </c>
      <c r="E117" s="32" t="s">
        <v>200</v>
      </c>
      <c r="F117" s="32" t="s">
        <v>199</v>
      </c>
      <c r="G117" s="32">
        <v>8</v>
      </c>
      <c r="H117" s="32" t="s">
        <v>214</v>
      </c>
      <c r="I117" s="32" t="s">
        <v>208</v>
      </c>
      <c r="J117" s="34">
        <v>166</v>
      </c>
      <c r="K117" s="61">
        <f t="shared" si="6"/>
        <v>166</v>
      </c>
      <c r="L117" s="41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90"/>
      <c r="AA117" s="62">
        <f t="shared" si="7"/>
        <v>0</v>
      </c>
      <c r="AB117" s="32"/>
      <c r="AC117" s="32">
        <v>2</v>
      </c>
      <c r="AD117" s="32"/>
      <c r="AE117" s="36"/>
      <c r="AF117" s="32"/>
      <c r="AG117" s="32"/>
      <c r="AH117" s="34"/>
      <c r="AI117" s="41"/>
      <c r="AJ117" s="33"/>
      <c r="AK117" s="36"/>
    </row>
    <row r="118" spans="1:37" x14ac:dyDescent="0.25">
      <c r="A118" s="32" t="s">
        <v>850</v>
      </c>
      <c r="B118" s="32" t="s">
        <v>244</v>
      </c>
      <c r="C118" s="32" t="s">
        <v>244</v>
      </c>
      <c r="D118" s="32" t="s">
        <v>223</v>
      </c>
      <c r="E118" s="32" t="s">
        <v>201</v>
      </c>
      <c r="F118" s="32" t="s">
        <v>200</v>
      </c>
      <c r="G118" s="32">
        <v>8</v>
      </c>
      <c r="H118" s="32" t="s">
        <v>214</v>
      </c>
      <c r="I118" s="32" t="s">
        <v>208</v>
      </c>
      <c r="J118" s="34">
        <v>75</v>
      </c>
      <c r="K118" s="61">
        <f t="shared" si="6"/>
        <v>75</v>
      </c>
      <c r="L118" s="41"/>
      <c r="M118" s="32"/>
      <c r="N118" s="32"/>
      <c r="O118" s="32"/>
      <c r="P118" s="32"/>
      <c r="Q118" s="32"/>
      <c r="R118" s="32"/>
      <c r="S118" s="32"/>
      <c r="T118" s="32"/>
      <c r="U118" s="32"/>
      <c r="V118" s="32"/>
      <c r="W118" s="32"/>
      <c r="X118" s="32"/>
      <c r="Y118" s="32"/>
      <c r="Z118" s="90"/>
      <c r="AA118" s="62">
        <f t="shared" si="7"/>
        <v>0</v>
      </c>
      <c r="AB118" s="32"/>
      <c r="AC118" s="32">
        <v>1</v>
      </c>
      <c r="AD118" s="32"/>
      <c r="AE118" s="36"/>
      <c r="AF118" s="32"/>
      <c r="AG118" s="32"/>
      <c r="AH118" s="34"/>
      <c r="AI118" s="41"/>
      <c r="AJ118" s="33"/>
      <c r="AK118" s="36"/>
    </row>
    <row r="119" spans="1:37" x14ac:dyDescent="0.25">
      <c r="A119" s="32" t="s">
        <v>851</v>
      </c>
      <c r="B119" s="32" t="s">
        <v>244</v>
      </c>
      <c r="C119" s="32" t="s">
        <v>244</v>
      </c>
      <c r="D119" s="32" t="s">
        <v>223</v>
      </c>
      <c r="E119" s="32" t="s">
        <v>202</v>
      </c>
      <c r="F119" s="32" t="s">
        <v>203</v>
      </c>
      <c r="G119" s="32">
        <v>8</v>
      </c>
      <c r="H119" s="32" t="s">
        <v>214</v>
      </c>
      <c r="I119" s="32" t="s">
        <v>208</v>
      </c>
      <c r="J119" s="34">
        <v>57</v>
      </c>
      <c r="K119" s="61">
        <f t="shared" si="6"/>
        <v>57</v>
      </c>
      <c r="L119" s="41"/>
      <c r="M119" s="32"/>
      <c r="N119" s="32"/>
      <c r="O119" s="32"/>
      <c r="P119" s="32"/>
      <c r="Q119" s="32"/>
      <c r="R119" s="32"/>
      <c r="S119" s="32"/>
      <c r="T119" s="32"/>
      <c r="U119" s="32"/>
      <c r="V119" s="32"/>
      <c r="W119" s="32"/>
      <c r="X119" s="32"/>
      <c r="Y119" s="32"/>
      <c r="Z119" s="90"/>
      <c r="AA119" s="62">
        <f t="shared" si="7"/>
        <v>0</v>
      </c>
      <c r="AB119" s="32"/>
      <c r="AC119" s="32">
        <v>1</v>
      </c>
      <c r="AD119" s="32"/>
      <c r="AE119" s="36"/>
      <c r="AF119" s="32"/>
      <c r="AG119" s="32"/>
      <c r="AH119" s="34"/>
      <c r="AI119" s="41"/>
      <c r="AJ119" s="33"/>
      <c r="AK119" s="36"/>
    </row>
    <row r="120" spans="1:37" ht="30" x14ac:dyDescent="0.25">
      <c r="A120" s="32" t="s">
        <v>852</v>
      </c>
      <c r="B120" s="32" t="s">
        <v>218</v>
      </c>
      <c r="C120" s="32" t="s">
        <v>218</v>
      </c>
      <c r="D120" s="32" t="s">
        <v>220</v>
      </c>
      <c r="E120" s="32" t="s">
        <v>204</v>
      </c>
      <c r="F120" s="32" t="s">
        <v>205</v>
      </c>
      <c r="G120" s="32">
        <v>12</v>
      </c>
      <c r="H120" s="32" t="s">
        <v>215</v>
      </c>
      <c r="I120" s="32" t="s">
        <v>216</v>
      </c>
      <c r="J120" s="34">
        <v>60</v>
      </c>
      <c r="K120" s="61">
        <f t="shared" si="6"/>
        <v>60</v>
      </c>
      <c r="L120" s="41"/>
      <c r="M120" s="32"/>
      <c r="N120" s="32"/>
      <c r="O120" s="32"/>
      <c r="P120" s="32"/>
      <c r="Q120" s="32"/>
      <c r="R120" s="32"/>
      <c r="S120" s="32"/>
      <c r="T120" s="32"/>
      <c r="U120" s="32"/>
      <c r="V120" s="32"/>
      <c r="W120" s="32"/>
      <c r="X120" s="32"/>
      <c r="Y120" s="32"/>
      <c r="Z120" s="90"/>
      <c r="AA120" s="62">
        <f t="shared" si="7"/>
        <v>0</v>
      </c>
      <c r="AB120" s="32"/>
      <c r="AC120" s="32">
        <v>0</v>
      </c>
      <c r="AD120" s="32"/>
      <c r="AE120" s="36"/>
      <c r="AF120" s="32"/>
      <c r="AG120" s="32"/>
      <c r="AH120" s="34"/>
      <c r="AI120" s="41"/>
      <c r="AJ120" s="33"/>
      <c r="AK120" s="36"/>
    </row>
    <row r="121" spans="1:37" x14ac:dyDescent="0.25">
      <c r="A121" s="32"/>
      <c r="B121" s="32"/>
      <c r="C121" s="32"/>
      <c r="D121" s="32"/>
      <c r="E121" s="32"/>
      <c r="F121" s="32"/>
      <c r="G121" s="32"/>
      <c r="H121" s="32"/>
      <c r="I121" s="32"/>
      <c r="J121" s="34"/>
      <c r="K121" s="61">
        <f t="shared" si="6"/>
        <v>0</v>
      </c>
      <c r="L121" s="41"/>
      <c r="M121" s="32"/>
      <c r="N121" s="32"/>
      <c r="O121" s="32"/>
      <c r="P121" s="32"/>
      <c r="Q121" s="32"/>
      <c r="R121" s="32"/>
      <c r="S121" s="32"/>
      <c r="T121" s="32"/>
      <c r="U121" s="32"/>
      <c r="V121" s="32"/>
      <c r="W121" s="32"/>
      <c r="X121" s="32"/>
      <c r="Y121" s="32"/>
      <c r="Z121" s="90"/>
      <c r="AA121" s="62">
        <f t="shared" si="7"/>
        <v>0</v>
      </c>
      <c r="AB121" s="32"/>
      <c r="AC121" s="32"/>
      <c r="AD121" s="32"/>
      <c r="AE121" s="36"/>
      <c r="AF121" s="32"/>
      <c r="AG121" s="32"/>
      <c r="AH121" s="34"/>
      <c r="AI121" s="41"/>
      <c r="AJ121" s="33"/>
      <c r="AK121" s="36"/>
    </row>
    <row r="122" spans="1:37" x14ac:dyDescent="0.25">
      <c r="A122" s="32"/>
      <c r="B122" s="32"/>
      <c r="C122" s="32"/>
      <c r="D122" s="32"/>
      <c r="E122" s="32"/>
      <c r="F122" s="32"/>
      <c r="G122" s="32"/>
      <c r="H122" s="32"/>
      <c r="I122" s="32"/>
      <c r="J122" s="34"/>
      <c r="K122" s="61">
        <f t="shared" si="6"/>
        <v>0</v>
      </c>
      <c r="L122" s="41"/>
      <c r="M122" s="32"/>
      <c r="N122" s="32"/>
      <c r="O122" s="32"/>
      <c r="P122" s="32"/>
      <c r="Q122" s="32"/>
      <c r="R122" s="32"/>
      <c r="S122" s="32"/>
      <c r="T122" s="32"/>
      <c r="U122" s="32"/>
      <c r="V122" s="32"/>
      <c r="W122" s="32"/>
      <c r="X122" s="32"/>
      <c r="Y122" s="32"/>
      <c r="Z122" s="90"/>
      <c r="AA122" s="62">
        <f t="shared" si="7"/>
        <v>0</v>
      </c>
      <c r="AB122" s="32"/>
      <c r="AC122" s="32"/>
      <c r="AD122" s="32"/>
      <c r="AE122" s="36"/>
      <c r="AF122" s="32"/>
      <c r="AG122" s="32"/>
      <c r="AH122" s="34"/>
      <c r="AI122" s="41"/>
      <c r="AJ122" s="33"/>
      <c r="AK122" s="36"/>
    </row>
    <row r="123" spans="1:37" x14ac:dyDescent="0.25">
      <c r="A123" s="32"/>
      <c r="B123" s="32"/>
      <c r="C123" s="32"/>
      <c r="D123" s="32"/>
      <c r="E123" s="32"/>
      <c r="F123" s="32"/>
      <c r="G123" s="32"/>
      <c r="H123" s="32"/>
      <c r="I123" s="32"/>
      <c r="J123" s="34"/>
      <c r="K123" s="61">
        <f t="shared" si="6"/>
        <v>0</v>
      </c>
      <c r="L123" s="41"/>
      <c r="M123" s="32"/>
      <c r="N123" s="32"/>
      <c r="O123" s="32"/>
      <c r="P123" s="32"/>
      <c r="Q123" s="32"/>
      <c r="R123" s="32"/>
      <c r="S123" s="32"/>
      <c r="T123" s="32"/>
      <c r="U123" s="32"/>
      <c r="V123" s="32"/>
      <c r="W123" s="32"/>
      <c r="X123" s="32"/>
      <c r="Y123" s="32"/>
      <c r="Z123" s="90"/>
      <c r="AA123" s="62">
        <f t="shared" si="7"/>
        <v>0</v>
      </c>
      <c r="AB123" s="32"/>
      <c r="AC123" s="32"/>
      <c r="AD123" s="32"/>
      <c r="AE123" s="36"/>
      <c r="AF123" s="32"/>
      <c r="AG123" s="32"/>
      <c r="AH123" s="34"/>
      <c r="AI123" s="41"/>
      <c r="AJ123" s="33"/>
      <c r="AK123" s="36"/>
    </row>
    <row r="124" spans="1:37" x14ac:dyDescent="0.25">
      <c r="A124" s="32"/>
      <c r="B124" s="32"/>
      <c r="C124" s="32"/>
      <c r="D124" s="32"/>
      <c r="E124" s="32"/>
      <c r="F124" s="32"/>
      <c r="G124" s="32"/>
      <c r="H124" s="32"/>
      <c r="I124" s="32"/>
      <c r="J124" s="34"/>
      <c r="K124" s="61">
        <f t="shared" si="6"/>
        <v>0</v>
      </c>
      <c r="L124" s="41"/>
      <c r="M124" s="32"/>
      <c r="N124" s="32"/>
      <c r="O124" s="32"/>
      <c r="P124" s="32"/>
      <c r="Q124" s="32"/>
      <c r="R124" s="32"/>
      <c r="S124" s="32"/>
      <c r="T124" s="32"/>
      <c r="U124" s="32"/>
      <c r="V124" s="32"/>
      <c r="W124" s="32"/>
      <c r="X124" s="32"/>
      <c r="Y124" s="32"/>
      <c r="Z124" s="90"/>
      <c r="AA124" s="62">
        <f t="shared" si="7"/>
        <v>0</v>
      </c>
      <c r="AB124" s="32"/>
      <c r="AC124" s="32"/>
      <c r="AD124" s="32"/>
      <c r="AE124" s="36"/>
      <c r="AF124" s="32"/>
      <c r="AG124" s="32"/>
      <c r="AH124" s="34"/>
      <c r="AI124" s="41"/>
      <c r="AJ124" s="33"/>
      <c r="AK124" s="36"/>
    </row>
    <row r="125" spans="1:37" x14ac:dyDescent="0.25">
      <c r="A125" s="32"/>
      <c r="B125" s="32"/>
      <c r="C125" s="32"/>
      <c r="D125" s="32"/>
      <c r="E125" s="32"/>
      <c r="F125" s="32"/>
      <c r="G125" s="32"/>
      <c r="H125" s="32"/>
      <c r="I125" s="32"/>
      <c r="J125" s="34"/>
      <c r="K125" s="61">
        <f t="shared" si="6"/>
        <v>0</v>
      </c>
      <c r="L125" s="41"/>
      <c r="M125" s="32"/>
      <c r="N125" s="32"/>
      <c r="O125" s="32"/>
      <c r="P125" s="32"/>
      <c r="Q125" s="32"/>
      <c r="R125" s="32"/>
      <c r="S125" s="32"/>
      <c r="T125" s="32"/>
      <c r="U125" s="32"/>
      <c r="V125" s="32"/>
      <c r="W125" s="32"/>
      <c r="X125" s="32"/>
      <c r="Y125" s="32"/>
      <c r="Z125" s="90"/>
      <c r="AA125" s="62">
        <f t="shared" si="7"/>
        <v>0</v>
      </c>
      <c r="AB125" s="32"/>
      <c r="AC125" s="32"/>
      <c r="AD125" s="32"/>
      <c r="AE125" s="36"/>
      <c r="AF125" s="32"/>
      <c r="AG125" s="32"/>
      <c r="AH125" s="34"/>
      <c r="AI125" s="41"/>
      <c r="AJ125" s="33"/>
      <c r="AK125" s="36"/>
    </row>
    <row r="126" spans="1:37" x14ac:dyDescent="0.25">
      <c r="A126" s="32"/>
      <c r="B126" s="32"/>
      <c r="C126" s="32"/>
      <c r="D126" s="32"/>
      <c r="E126" s="32"/>
      <c r="F126" s="32"/>
      <c r="G126" s="32"/>
      <c r="H126" s="32"/>
      <c r="I126" s="32"/>
      <c r="J126" s="34"/>
      <c r="K126" s="61">
        <f t="shared" si="6"/>
        <v>0</v>
      </c>
      <c r="L126" s="41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  <c r="X126" s="32"/>
      <c r="Y126" s="32"/>
      <c r="Z126" s="90"/>
      <c r="AA126" s="62">
        <f t="shared" si="7"/>
        <v>0</v>
      </c>
      <c r="AB126" s="32"/>
      <c r="AC126" s="32"/>
      <c r="AD126" s="32"/>
      <c r="AE126" s="36"/>
      <c r="AF126" s="32"/>
      <c r="AG126" s="32"/>
      <c r="AH126" s="34"/>
      <c r="AI126" s="41"/>
      <c r="AJ126" s="33"/>
      <c r="AK126" s="36"/>
    </row>
    <row r="127" spans="1:37" x14ac:dyDescent="0.25">
      <c r="A127" s="32"/>
      <c r="B127" s="32"/>
      <c r="C127" s="32"/>
      <c r="D127" s="32"/>
      <c r="E127" s="32"/>
      <c r="F127" s="32"/>
      <c r="G127" s="32"/>
      <c r="H127" s="32"/>
      <c r="I127" s="32"/>
      <c r="J127" s="34"/>
      <c r="K127" s="61">
        <f t="shared" si="6"/>
        <v>0</v>
      </c>
      <c r="L127" s="41"/>
      <c r="M127" s="32"/>
      <c r="N127" s="32"/>
      <c r="O127" s="32"/>
      <c r="P127" s="32"/>
      <c r="Q127" s="32"/>
      <c r="R127" s="32"/>
      <c r="S127" s="32"/>
      <c r="T127" s="32"/>
      <c r="U127" s="32"/>
      <c r="V127" s="32"/>
      <c r="W127" s="32"/>
      <c r="X127" s="32"/>
      <c r="Y127" s="32"/>
      <c r="Z127" s="90"/>
      <c r="AA127" s="62">
        <f t="shared" si="7"/>
        <v>0</v>
      </c>
      <c r="AB127" s="32"/>
      <c r="AC127" s="32"/>
      <c r="AD127" s="32"/>
      <c r="AE127" s="36"/>
      <c r="AF127" s="32"/>
      <c r="AG127" s="32"/>
      <c r="AH127" s="34"/>
      <c r="AI127" s="41"/>
      <c r="AJ127" s="33"/>
      <c r="AK127" s="36"/>
    </row>
    <row r="128" spans="1:37" x14ac:dyDescent="0.25">
      <c r="A128" s="32"/>
      <c r="B128" s="32"/>
      <c r="C128" s="32"/>
      <c r="D128" s="32"/>
      <c r="E128" s="32"/>
      <c r="F128" s="32"/>
      <c r="G128" s="32"/>
      <c r="H128" s="32"/>
      <c r="I128" s="32"/>
      <c r="J128" s="34"/>
      <c r="K128" s="61">
        <f t="shared" si="6"/>
        <v>0</v>
      </c>
      <c r="L128" s="41"/>
      <c r="M128" s="32"/>
      <c r="N128" s="32"/>
      <c r="O128" s="32"/>
      <c r="P128" s="32"/>
      <c r="Q128" s="32"/>
      <c r="R128" s="32"/>
      <c r="S128" s="32"/>
      <c r="T128" s="32"/>
      <c r="U128" s="32"/>
      <c r="V128" s="32"/>
      <c r="W128" s="32"/>
      <c r="X128" s="32"/>
      <c r="Y128" s="32"/>
      <c r="Z128" s="90"/>
      <c r="AA128" s="62">
        <f t="shared" si="7"/>
        <v>0</v>
      </c>
      <c r="AB128" s="32"/>
      <c r="AC128" s="32"/>
      <c r="AD128" s="32"/>
      <c r="AE128" s="36"/>
      <c r="AF128" s="32"/>
      <c r="AG128" s="32"/>
      <c r="AH128" s="34"/>
      <c r="AI128" s="41"/>
      <c r="AJ128" s="33"/>
      <c r="AK128" s="36"/>
    </row>
    <row r="129" spans="1:37" x14ac:dyDescent="0.25">
      <c r="A129" s="32"/>
      <c r="B129" s="32"/>
      <c r="C129" s="32"/>
      <c r="D129" s="32"/>
      <c r="E129" s="32"/>
      <c r="F129" s="32"/>
      <c r="G129" s="32"/>
      <c r="H129" s="32"/>
      <c r="I129" s="32"/>
      <c r="J129" s="34"/>
      <c r="K129" s="61">
        <f t="shared" si="6"/>
        <v>0</v>
      </c>
      <c r="L129" s="41"/>
      <c r="M129" s="32"/>
      <c r="N129" s="32"/>
      <c r="O129" s="32"/>
      <c r="P129" s="32"/>
      <c r="Q129" s="32"/>
      <c r="R129" s="32"/>
      <c r="S129" s="32"/>
      <c r="T129" s="32"/>
      <c r="U129" s="32"/>
      <c r="V129" s="32"/>
      <c r="W129" s="32"/>
      <c r="X129" s="32"/>
      <c r="Y129" s="32"/>
      <c r="Z129" s="90"/>
      <c r="AA129" s="62">
        <f t="shared" si="7"/>
        <v>0</v>
      </c>
      <c r="AB129" s="32"/>
      <c r="AC129" s="32"/>
      <c r="AD129" s="32"/>
      <c r="AE129" s="36"/>
      <c r="AF129" s="32"/>
      <c r="AG129" s="32"/>
      <c r="AH129" s="34"/>
      <c r="AI129" s="41"/>
      <c r="AJ129" s="33"/>
      <c r="AK129" s="36"/>
    </row>
    <row r="130" spans="1:37" x14ac:dyDescent="0.25">
      <c r="A130" s="32"/>
      <c r="B130" s="32"/>
      <c r="C130" s="32"/>
      <c r="D130" s="32"/>
      <c r="E130" s="32"/>
      <c r="F130" s="32"/>
      <c r="G130" s="32"/>
      <c r="H130" s="32"/>
      <c r="I130" s="32"/>
      <c r="J130" s="34"/>
      <c r="K130" s="61">
        <f t="shared" si="6"/>
        <v>0</v>
      </c>
      <c r="L130" s="41"/>
      <c r="M130" s="32"/>
      <c r="N130" s="32"/>
      <c r="O130" s="32"/>
      <c r="P130" s="32"/>
      <c r="Q130" s="32"/>
      <c r="R130" s="32"/>
      <c r="S130" s="32"/>
      <c r="T130" s="32"/>
      <c r="U130" s="32"/>
      <c r="V130" s="32"/>
      <c r="W130" s="32"/>
      <c r="X130" s="32"/>
      <c r="Y130" s="32"/>
      <c r="Z130" s="90"/>
      <c r="AA130" s="62">
        <f t="shared" si="7"/>
        <v>0</v>
      </c>
      <c r="AB130" s="32"/>
      <c r="AC130" s="32"/>
      <c r="AD130" s="32"/>
      <c r="AE130" s="36"/>
      <c r="AF130" s="32"/>
      <c r="AG130" s="32"/>
      <c r="AH130" s="34"/>
      <c r="AI130" s="41"/>
      <c r="AJ130" s="33"/>
      <c r="AK130" s="36"/>
    </row>
  </sheetData>
  <autoFilter ref="A3:AK130" xr:uid="{89A96205-DEEF-4474-B2D9-62EAA9C62843}"/>
  <mergeCells count="6">
    <mergeCell ref="A1:AK1"/>
    <mergeCell ref="A2:K2"/>
    <mergeCell ref="L2:Y2"/>
    <mergeCell ref="Z2:AD2"/>
    <mergeCell ref="AE2:AH2"/>
    <mergeCell ref="AI2:AJ2"/>
  </mergeCells>
  <phoneticPr fontId="4" type="noConversion"/>
  <dataValidations count="4">
    <dataValidation type="list" allowBlank="1" showInputMessage="1" showErrorMessage="1" sqref="AE1:AE1048576" xr:uid="{3DDC0E66-8046-4437-9961-89424872A683}">
      <formula1>"Yes, No, Exempt"</formula1>
    </dataValidation>
    <dataValidation type="list" allowBlank="1" showInputMessage="1" showErrorMessage="1" sqref="AH1:AH1048576" xr:uid="{793BDF0E-7451-4A49-AD26-4CBA11DADAF6}">
      <formula1>"Pass, Fail"</formula1>
    </dataValidation>
    <dataValidation type="list" allowBlank="1" showInputMessage="1" showErrorMessage="1" sqref="M1:M1048576" xr:uid="{65661EAF-1DE2-4CE4-AD73-2B2EA9161662}">
      <formula1>"Downstream, Upstream"</formula1>
    </dataValidation>
    <dataValidation type="list" allowBlank="1" showInputMessage="1" showErrorMessage="1" sqref="AD1:AD1048576" xr:uid="{D5583296-BC5F-426D-B24B-3F54D4CC7988}">
      <formula1>"Yes, No"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25C04-6763-4174-81D5-5E5AA965A74C}">
  <sheetPr>
    <pageSetUpPr fitToPage="1"/>
  </sheetPr>
  <dimension ref="B1:AF553"/>
  <sheetViews>
    <sheetView zoomScale="55" zoomScaleNormal="55" workbookViewId="0">
      <pane xSplit="1" ySplit="8" topLeftCell="B18" activePane="bottomRight" state="frozen"/>
      <selection pane="topRight" activeCell="B1" sqref="B1"/>
      <selection pane="bottomLeft" activeCell="A9" sqref="A9"/>
      <selection pane="bottomRight" activeCell="E28" sqref="E28"/>
    </sheetView>
  </sheetViews>
  <sheetFormatPr defaultColWidth="8.85546875" defaultRowHeight="15" x14ac:dyDescent="0.25"/>
  <cols>
    <col min="1" max="1" width="2.7109375" style="112" customWidth="1"/>
    <col min="2" max="2" width="19.85546875" style="112" customWidth="1"/>
    <col min="3" max="3" width="14" style="112" bestFit="1" customWidth="1"/>
    <col min="4" max="4" width="13" style="112" customWidth="1"/>
    <col min="5" max="5" width="21.5703125" style="112" customWidth="1"/>
    <col min="6" max="6" width="28" style="112" customWidth="1"/>
    <col min="7" max="7" width="11.5703125" style="112" customWidth="1"/>
    <col min="8" max="8" width="25.28515625" style="112" customWidth="1"/>
    <col min="9" max="9" width="23.140625" style="112" customWidth="1"/>
    <col min="10" max="10" width="9.85546875" style="112" customWidth="1"/>
    <col min="11" max="11" width="40.42578125" style="112" bestFit="1" customWidth="1"/>
    <col min="12" max="13" width="11" style="112" customWidth="1"/>
    <col min="14" max="14" width="10.5703125" style="112" customWidth="1"/>
    <col min="15" max="15" width="9.7109375" style="112" bestFit="1" customWidth="1"/>
    <col min="16" max="16" width="15.7109375" style="112" bestFit="1" customWidth="1"/>
    <col min="17" max="17" width="23.7109375" style="112" customWidth="1"/>
    <col min="18" max="18" width="61.85546875" style="112" customWidth="1"/>
    <col min="19" max="19" width="8.85546875" style="112"/>
    <col min="20" max="20" width="6.85546875" style="112" customWidth="1"/>
    <col min="21" max="21" width="10.85546875" style="112" customWidth="1"/>
    <col min="22" max="22" width="24" style="112" customWidth="1"/>
    <col min="23" max="23" width="8.85546875" style="112"/>
    <col min="24" max="26" width="9.7109375" style="112" customWidth="1"/>
    <col min="27" max="27" width="20.28515625" style="112" customWidth="1"/>
    <col min="28" max="28" width="8.140625" style="112" customWidth="1"/>
    <col min="29" max="29" width="12.42578125" style="112" bestFit="1" customWidth="1"/>
    <col min="30" max="30" width="9.7109375" style="112" customWidth="1"/>
    <col min="31" max="31" width="13.28515625" style="112" bestFit="1" customWidth="1"/>
    <col min="32" max="16384" width="8.85546875" style="112"/>
  </cols>
  <sheetData>
    <row r="1" spans="2:32" ht="27" customHeight="1" x14ac:dyDescent="0.35">
      <c r="B1" s="225" t="s">
        <v>903</v>
      </c>
      <c r="C1" s="225"/>
      <c r="D1" s="225"/>
      <c r="E1" s="225"/>
      <c r="F1" s="225"/>
      <c r="G1" s="225"/>
      <c r="H1" s="225"/>
      <c r="I1" s="225"/>
      <c r="J1" s="225"/>
      <c r="K1" s="225"/>
      <c r="L1" s="225"/>
      <c r="M1" s="225"/>
      <c r="N1" s="225"/>
      <c r="O1" s="225"/>
      <c r="P1" s="225"/>
      <c r="Q1" s="225"/>
      <c r="R1" s="225"/>
    </row>
    <row r="2" spans="2:32" ht="27.75" customHeight="1" thickBot="1" x14ac:dyDescent="0.45">
      <c r="B2" s="113"/>
      <c r="C2" s="113"/>
      <c r="D2" s="113"/>
      <c r="E2" s="113"/>
      <c r="F2" s="113"/>
      <c r="G2" s="113"/>
      <c r="H2" s="114" t="s">
        <v>904</v>
      </c>
      <c r="I2" s="226">
        <v>46116</v>
      </c>
      <c r="J2" s="226"/>
      <c r="K2" s="226"/>
      <c r="L2" s="113"/>
      <c r="M2" s="113"/>
      <c r="N2" s="113"/>
      <c r="O2" s="113"/>
      <c r="P2" s="113"/>
      <c r="Q2" s="113"/>
    </row>
    <row r="3" spans="2:32" ht="16.5" customHeight="1" x14ac:dyDescent="0.4">
      <c r="B3" s="113"/>
      <c r="C3" s="113"/>
      <c r="D3" s="113"/>
      <c r="E3" s="113"/>
      <c r="F3" s="113"/>
      <c r="G3" s="113"/>
      <c r="H3" s="115"/>
      <c r="I3" s="113"/>
      <c r="J3" s="113"/>
      <c r="K3" s="113"/>
      <c r="L3" s="113"/>
      <c r="M3" s="113"/>
      <c r="N3" s="113"/>
      <c r="O3" s="113"/>
      <c r="P3" s="113"/>
      <c r="Q3" s="113"/>
    </row>
    <row r="4" spans="2:32" ht="16.5" customHeight="1" thickBot="1" x14ac:dyDescent="0.3">
      <c r="B4" s="227" t="s">
        <v>905</v>
      </c>
      <c r="C4" s="227"/>
      <c r="D4" s="227"/>
      <c r="E4" s="116"/>
      <c r="F4" s="117"/>
      <c r="G4" s="117"/>
      <c r="H4" s="116" t="s">
        <v>906</v>
      </c>
      <c r="I4" s="228" t="s">
        <v>1042</v>
      </c>
      <c r="J4" s="228"/>
      <c r="K4" s="228"/>
      <c r="L4" s="119"/>
      <c r="M4" s="119"/>
      <c r="N4" s="119"/>
      <c r="O4" s="119"/>
      <c r="P4" s="229" t="s">
        <v>907</v>
      </c>
      <c r="Q4" s="229"/>
      <c r="R4" s="118">
        <v>26129</v>
      </c>
    </row>
    <row r="5" spans="2:32" ht="16.5" customHeight="1" thickBot="1" x14ac:dyDescent="0.3">
      <c r="B5" s="121"/>
      <c r="C5" s="122"/>
      <c r="D5" s="122"/>
      <c r="E5" s="123"/>
      <c r="F5" s="124"/>
      <c r="G5" s="124"/>
      <c r="H5" s="119"/>
      <c r="I5" s="121"/>
      <c r="J5" s="125"/>
      <c r="K5" s="119"/>
      <c r="L5" s="119"/>
      <c r="M5" s="119"/>
      <c r="N5" s="119"/>
      <c r="O5" s="119"/>
      <c r="P5" s="117"/>
      <c r="Q5" s="117"/>
      <c r="R5" s="124"/>
    </row>
    <row r="6" spans="2:32" ht="16.5" customHeight="1" thickBot="1" x14ac:dyDescent="0.3">
      <c r="B6" s="121"/>
      <c r="C6" s="122"/>
      <c r="D6" s="122"/>
      <c r="E6" s="126"/>
      <c r="F6" s="127"/>
      <c r="G6" s="127"/>
      <c r="H6" s="120" t="s">
        <v>908</v>
      </c>
      <c r="I6" s="228" t="s">
        <v>1043</v>
      </c>
      <c r="J6" s="228"/>
      <c r="K6" s="228"/>
      <c r="L6" s="119"/>
      <c r="M6" s="119"/>
      <c r="N6" s="119"/>
      <c r="O6" s="119"/>
      <c r="P6" s="229" t="s">
        <v>909</v>
      </c>
      <c r="Q6" s="229"/>
      <c r="R6" s="118" t="s">
        <v>910</v>
      </c>
      <c r="X6" s="232" t="s">
        <v>911</v>
      </c>
      <c r="Y6" s="233"/>
      <c r="Z6" s="233"/>
      <c r="AA6" s="233"/>
      <c r="AB6" s="233"/>
      <c r="AC6" s="233"/>
      <c r="AD6" s="233"/>
      <c r="AE6" s="233"/>
      <c r="AF6" s="234"/>
    </row>
    <row r="7" spans="2:32" ht="15.75" customHeight="1" thickBot="1" x14ac:dyDescent="0.3">
      <c r="B7" s="124"/>
      <c r="C7" s="124"/>
      <c r="D7" s="124"/>
      <c r="E7" s="128"/>
      <c r="F7" s="129"/>
      <c r="G7" s="129"/>
      <c r="H7" s="124"/>
      <c r="I7" s="124"/>
      <c r="J7" s="124"/>
      <c r="K7" s="124"/>
      <c r="L7" s="124"/>
      <c r="M7" s="124"/>
      <c r="N7" s="124"/>
      <c r="O7" s="124"/>
      <c r="P7" s="124"/>
      <c r="Q7" s="124"/>
      <c r="R7" s="124"/>
      <c r="T7" s="235" t="s">
        <v>912</v>
      </c>
      <c r="U7" s="236"/>
      <c r="V7" s="237"/>
      <c r="X7" s="238" t="s">
        <v>913</v>
      </c>
      <c r="Y7" s="239"/>
      <c r="Z7" s="239"/>
      <c r="AA7" s="239"/>
      <c r="AB7" s="240"/>
      <c r="AC7" s="238" t="s">
        <v>914</v>
      </c>
      <c r="AD7" s="240"/>
      <c r="AE7" s="238" t="s">
        <v>915</v>
      </c>
      <c r="AF7" s="240"/>
    </row>
    <row r="8" spans="2:32" ht="46.5" customHeight="1" thickBot="1" x14ac:dyDescent="0.3">
      <c r="B8" s="130" t="s">
        <v>916</v>
      </c>
      <c r="C8" s="131" t="s">
        <v>917</v>
      </c>
      <c r="D8" s="132" t="s">
        <v>918</v>
      </c>
      <c r="E8" s="132" t="s">
        <v>919</v>
      </c>
      <c r="F8" s="133" t="s">
        <v>920</v>
      </c>
      <c r="G8" s="132" t="s">
        <v>921</v>
      </c>
      <c r="H8" s="133" t="s">
        <v>13</v>
      </c>
      <c r="I8" s="134" t="s">
        <v>922</v>
      </c>
      <c r="J8" s="135" t="s">
        <v>923</v>
      </c>
      <c r="K8" s="134" t="s">
        <v>924</v>
      </c>
      <c r="L8" s="135" t="s">
        <v>925</v>
      </c>
      <c r="M8" s="135" t="s">
        <v>926</v>
      </c>
      <c r="N8" s="134" t="s">
        <v>927</v>
      </c>
      <c r="O8" s="134" t="s">
        <v>928</v>
      </c>
      <c r="P8" s="135" t="s">
        <v>929</v>
      </c>
      <c r="Q8" s="135" t="s">
        <v>930</v>
      </c>
      <c r="R8" s="136" t="s">
        <v>32</v>
      </c>
      <c r="T8" s="137" t="s">
        <v>931</v>
      </c>
      <c r="U8" s="138" t="s">
        <v>932</v>
      </c>
      <c r="V8" s="139" t="s">
        <v>933</v>
      </c>
      <c r="X8" s="137" t="s">
        <v>934</v>
      </c>
      <c r="Y8" s="138" t="s">
        <v>935</v>
      </c>
      <c r="Z8" s="138" t="s">
        <v>936</v>
      </c>
      <c r="AA8" s="138" t="s">
        <v>937</v>
      </c>
      <c r="AB8" s="140" t="s">
        <v>938</v>
      </c>
      <c r="AC8" s="141" t="s">
        <v>939</v>
      </c>
      <c r="AD8" s="142" t="s">
        <v>940</v>
      </c>
      <c r="AE8" s="137" t="s">
        <v>941</v>
      </c>
      <c r="AF8" s="143" t="s">
        <v>942</v>
      </c>
    </row>
    <row r="9" spans="2:32" ht="35.1" customHeight="1" x14ac:dyDescent="0.25">
      <c r="B9" s="144"/>
      <c r="C9" s="145"/>
      <c r="D9" s="146"/>
      <c r="E9" s="147" t="s">
        <v>943</v>
      </c>
      <c r="F9" s="148">
        <f>+I2-6</f>
        <v>46110</v>
      </c>
      <c r="G9" s="147"/>
      <c r="H9" s="149"/>
      <c r="I9" s="146"/>
      <c r="J9" s="146"/>
      <c r="K9" s="146"/>
      <c r="L9" s="146"/>
      <c r="M9" s="146"/>
      <c r="N9" s="146"/>
      <c r="O9" s="146"/>
      <c r="P9" s="150"/>
      <c r="Q9" s="151">
        <f>+O9*P9</f>
        <v>0</v>
      </c>
      <c r="R9" s="152"/>
      <c r="T9" s="153"/>
      <c r="U9" s="154"/>
      <c r="V9" s="155"/>
      <c r="X9" s="153"/>
      <c r="Y9" s="156"/>
      <c r="Z9" s="157"/>
      <c r="AA9" s="156"/>
      <c r="AB9" s="158"/>
      <c r="AC9" s="153"/>
      <c r="AD9" s="158"/>
      <c r="AE9" s="156"/>
      <c r="AF9" s="159"/>
    </row>
    <row r="10" spans="2:32" ht="35.1" customHeight="1" x14ac:dyDescent="0.25">
      <c r="B10" s="144"/>
      <c r="C10" s="145"/>
      <c r="D10" s="146"/>
      <c r="E10" s="147" t="s">
        <v>944</v>
      </c>
      <c r="F10" s="148">
        <f>+I2-5</f>
        <v>46111</v>
      </c>
      <c r="G10" s="147"/>
      <c r="H10" s="149"/>
      <c r="I10" s="146"/>
      <c r="J10" s="146"/>
      <c r="K10" s="146"/>
      <c r="L10" s="146"/>
      <c r="M10" s="146"/>
      <c r="N10" s="146"/>
      <c r="O10" s="146"/>
      <c r="P10" s="150"/>
      <c r="Q10" s="151">
        <f t="shared" ref="Q10:Q31" si="0">+O10*P10</f>
        <v>0</v>
      </c>
      <c r="R10" s="152"/>
      <c r="T10" s="161"/>
      <c r="U10" s="162"/>
      <c r="V10" s="163"/>
      <c r="X10" s="164"/>
      <c r="Y10" s="165"/>
      <c r="Z10" s="166"/>
      <c r="AA10" s="165"/>
      <c r="AB10" s="167"/>
      <c r="AC10" s="164"/>
      <c r="AD10" s="167"/>
      <c r="AE10" s="165"/>
      <c r="AF10" s="168"/>
    </row>
    <row r="11" spans="2:32" ht="35.1" customHeight="1" x14ac:dyDescent="0.25">
      <c r="B11" s="144"/>
      <c r="C11" s="145"/>
      <c r="D11" s="146"/>
      <c r="E11" s="147" t="s">
        <v>945</v>
      </c>
      <c r="F11" s="148">
        <f>+I2-4</f>
        <v>46112</v>
      </c>
      <c r="G11" s="147"/>
      <c r="H11" s="149"/>
      <c r="I11" s="146"/>
      <c r="J11" s="146"/>
      <c r="K11" s="146"/>
      <c r="L11" s="146"/>
      <c r="M11" s="146"/>
      <c r="N11" s="146"/>
      <c r="O11" s="146"/>
      <c r="P11" s="150"/>
      <c r="Q11" s="151">
        <f t="shared" si="0"/>
        <v>0</v>
      </c>
      <c r="R11" s="152"/>
      <c r="T11" s="161"/>
      <c r="U11" s="162"/>
      <c r="V11" s="163"/>
      <c r="X11" s="164"/>
      <c r="Y11" s="165"/>
      <c r="Z11" s="166"/>
      <c r="AA11" s="165"/>
      <c r="AB11" s="167"/>
      <c r="AC11" s="164"/>
      <c r="AD11" s="167"/>
      <c r="AE11" s="165"/>
      <c r="AF11" s="168"/>
    </row>
    <row r="12" spans="2:32" ht="35.1" customHeight="1" x14ac:dyDescent="0.25">
      <c r="B12" s="144"/>
      <c r="C12" s="145"/>
      <c r="D12" s="146"/>
      <c r="E12" s="147" t="s">
        <v>946</v>
      </c>
      <c r="F12" s="148">
        <f>+I2-3</f>
        <v>46113</v>
      </c>
      <c r="G12" s="147"/>
      <c r="H12" s="149"/>
      <c r="I12" s="146"/>
      <c r="J12" s="146"/>
      <c r="K12" s="146"/>
      <c r="L12" s="146"/>
      <c r="M12" s="146"/>
      <c r="N12" s="146"/>
      <c r="O12" s="146"/>
      <c r="P12" s="150"/>
      <c r="Q12" s="151">
        <f t="shared" si="0"/>
        <v>0</v>
      </c>
      <c r="R12" s="152"/>
      <c r="T12" s="161"/>
      <c r="U12" s="162"/>
      <c r="V12" s="163"/>
      <c r="X12" s="164"/>
      <c r="Y12" s="165"/>
      <c r="Z12" s="166"/>
      <c r="AA12" s="165"/>
      <c r="AB12" s="167"/>
      <c r="AC12" s="164"/>
      <c r="AD12" s="167"/>
      <c r="AE12" s="165"/>
      <c r="AF12" s="168"/>
    </row>
    <row r="13" spans="2:32" ht="35.1" customHeight="1" x14ac:dyDescent="0.25">
      <c r="B13" s="144"/>
      <c r="C13" s="145"/>
      <c r="D13" s="146"/>
      <c r="E13" s="147" t="s">
        <v>947</v>
      </c>
      <c r="F13" s="148">
        <f>+I2-2</f>
        <v>46114</v>
      </c>
      <c r="G13" s="147"/>
      <c r="H13" s="149"/>
      <c r="I13" s="146"/>
      <c r="J13" s="146"/>
      <c r="K13" s="146"/>
      <c r="L13" s="146"/>
      <c r="M13" s="146"/>
      <c r="N13" s="146"/>
      <c r="O13" s="146"/>
      <c r="P13" s="150"/>
      <c r="Q13" s="151">
        <f t="shared" si="0"/>
        <v>0</v>
      </c>
      <c r="R13" s="152"/>
      <c r="T13" s="161"/>
      <c r="U13" s="162"/>
      <c r="V13" s="163"/>
      <c r="X13" s="164"/>
      <c r="Y13" s="165"/>
      <c r="Z13" s="166"/>
      <c r="AA13" s="165"/>
      <c r="AB13" s="167"/>
      <c r="AC13" s="164"/>
      <c r="AD13" s="167"/>
      <c r="AE13" s="165"/>
      <c r="AF13" s="168"/>
    </row>
    <row r="14" spans="2:32" ht="35.1" customHeight="1" x14ac:dyDescent="0.25">
      <c r="B14" s="144" t="s">
        <v>961</v>
      </c>
      <c r="C14" s="145" t="s">
        <v>960</v>
      </c>
      <c r="D14" s="146" t="s">
        <v>166</v>
      </c>
      <c r="E14" s="160" t="s">
        <v>379</v>
      </c>
      <c r="F14" s="160" t="s">
        <v>376</v>
      </c>
      <c r="G14" s="146"/>
      <c r="H14" s="149" t="s">
        <v>799</v>
      </c>
      <c r="I14" s="146"/>
      <c r="J14" s="146" t="s">
        <v>1052</v>
      </c>
      <c r="K14" s="146" t="s">
        <v>1025</v>
      </c>
      <c r="L14" s="146" t="s">
        <v>990</v>
      </c>
      <c r="M14" s="146"/>
      <c r="N14" s="146"/>
      <c r="O14" s="146">
        <v>121.9</v>
      </c>
      <c r="P14" s="150">
        <v>3.9</v>
      </c>
      <c r="Q14" s="151">
        <f t="shared" ref="Q14:Q20" si="1">+O14*P14</f>
        <v>475.41</v>
      </c>
      <c r="R14" s="152"/>
      <c r="T14" s="161"/>
      <c r="U14" s="162"/>
      <c r="V14" s="163"/>
      <c r="X14" s="164"/>
      <c r="Y14" s="165"/>
      <c r="Z14" s="166"/>
      <c r="AA14" s="165"/>
      <c r="AB14" s="167"/>
      <c r="AC14" s="164"/>
      <c r="AD14" s="167"/>
      <c r="AE14" s="165"/>
      <c r="AF14" s="168"/>
    </row>
    <row r="15" spans="2:32" ht="35.1" customHeight="1" x14ac:dyDescent="0.25">
      <c r="B15" s="144" t="s">
        <v>961</v>
      </c>
      <c r="C15" s="145" t="s">
        <v>960</v>
      </c>
      <c r="D15" s="146" t="s">
        <v>169</v>
      </c>
      <c r="E15" s="160" t="s">
        <v>382</v>
      </c>
      <c r="F15" s="160" t="s">
        <v>379</v>
      </c>
      <c r="G15" s="146"/>
      <c r="H15" s="149" t="s">
        <v>799</v>
      </c>
      <c r="I15" s="146"/>
      <c r="J15" s="146" t="s">
        <v>1052</v>
      </c>
      <c r="K15" s="146" t="s">
        <v>1025</v>
      </c>
      <c r="L15" s="146" t="s">
        <v>990</v>
      </c>
      <c r="M15" s="146"/>
      <c r="N15" s="146"/>
      <c r="O15" s="146">
        <v>269.8</v>
      </c>
      <c r="P15" s="150">
        <v>3.9</v>
      </c>
      <c r="Q15" s="151">
        <f t="shared" si="1"/>
        <v>1052.22</v>
      </c>
      <c r="R15" s="152"/>
      <c r="T15" s="161"/>
      <c r="U15" s="162"/>
      <c r="V15" s="163"/>
      <c r="X15" s="164"/>
      <c r="Y15" s="165"/>
      <c r="Z15" s="166"/>
      <c r="AA15" s="165"/>
      <c r="AB15" s="167"/>
      <c r="AC15" s="164"/>
      <c r="AD15" s="167"/>
      <c r="AE15" s="165"/>
      <c r="AF15" s="168"/>
    </row>
    <row r="16" spans="2:32" ht="35.1" customHeight="1" x14ac:dyDescent="0.25">
      <c r="B16" s="144" t="s">
        <v>961</v>
      </c>
      <c r="C16" s="145" t="s">
        <v>960</v>
      </c>
      <c r="D16" s="146"/>
      <c r="E16" s="160" t="s">
        <v>382</v>
      </c>
      <c r="F16" s="160"/>
      <c r="G16" s="146"/>
      <c r="H16" s="149"/>
      <c r="I16" s="146"/>
      <c r="J16" s="146" t="s">
        <v>1071</v>
      </c>
      <c r="K16" s="146" t="s">
        <v>1070</v>
      </c>
      <c r="L16" s="146"/>
      <c r="M16" s="146"/>
      <c r="N16" s="146"/>
      <c r="O16" s="146">
        <v>1</v>
      </c>
      <c r="P16" s="150">
        <v>350</v>
      </c>
      <c r="Q16" s="151">
        <f>+O16*P16</f>
        <v>350</v>
      </c>
      <c r="R16" s="152" t="s">
        <v>1049</v>
      </c>
      <c r="T16" s="161"/>
      <c r="U16" s="162"/>
      <c r="V16" s="163"/>
      <c r="X16" s="164"/>
      <c r="Y16" s="165"/>
      <c r="Z16" s="166"/>
      <c r="AA16" s="165"/>
      <c r="AB16" s="167"/>
      <c r="AC16" s="164"/>
      <c r="AD16" s="167"/>
      <c r="AE16" s="165"/>
      <c r="AF16" s="168"/>
    </row>
    <row r="17" spans="2:32" ht="35.1" customHeight="1" x14ac:dyDescent="0.25">
      <c r="B17" s="144" t="s">
        <v>961</v>
      </c>
      <c r="C17" s="145" t="s">
        <v>960</v>
      </c>
      <c r="D17" s="146" t="s">
        <v>164</v>
      </c>
      <c r="E17" s="160" t="s">
        <v>376</v>
      </c>
      <c r="F17" s="160" t="s">
        <v>377</v>
      </c>
      <c r="G17" s="146"/>
      <c r="H17" s="149" t="s">
        <v>799</v>
      </c>
      <c r="I17" s="146"/>
      <c r="J17" s="146" t="s">
        <v>1052</v>
      </c>
      <c r="K17" s="146" t="s">
        <v>1025</v>
      </c>
      <c r="L17" s="146" t="s">
        <v>990</v>
      </c>
      <c r="M17" s="146"/>
      <c r="N17" s="146"/>
      <c r="O17" s="146">
        <v>166.7</v>
      </c>
      <c r="P17" s="150">
        <v>3.9</v>
      </c>
      <c r="Q17" s="151">
        <f t="shared" si="1"/>
        <v>650.13</v>
      </c>
      <c r="R17" s="152"/>
      <c r="T17" s="161"/>
      <c r="U17" s="162"/>
      <c r="V17" s="163"/>
      <c r="X17" s="164"/>
      <c r="Y17" s="165"/>
      <c r="Z17" s="166"/>
      <c r="AA17" s="165"/>
      <c r="AB17" s="167"/>
      <c r="AC17" s="164"/>
      <c r="AD17" s="167"/>
      <c r="AE17" s="165"/>
      <c r="AF17" s="168"/>
    </row>
    <row r="18" spans="2:32" ht="35.1" customHeight="1" x14ac:dyDescent="0.25">
      <c r="B18" s="144" t="s">
        <v>961</v>
      </c>
      <c r="C18" s="145" t="s">
        <v>960</v>
      </c>
      <c r="D18" s="146" t="s">
        <v>165</v>
      </c>
      <c r="E18" s="160" t="s">
        <v>378</v>
      </c>
      <c r="F18" s="160" t="s">
        <v>376</v>
      </c>
      <c r="G18" s="146"/>
      <c r="H18" s="149" t="s">
        <v>799</v>
      </c>
      <c r="I18" s="146"/>
      <c r="J18" s="146" t="s">
        <v>1052</v>
      </c>
      <c r="K18" s="146" t="s">
        <v>1025</v>
      </c>
      <c r="L18" s="146" t="s">
        <v>990</v>
      </c>
      <c r="M18" s="146"/>
      <c r="N18" s="146"/>
      <c r="O18" s="146">
        <v>201.4</v>
      </c>
      <c r="P18" s="150">
        <v>3.9</v>
      </c>
      <c r="Q18" s="151">
        <f t="shared" si="1"/>
        <v>785.46</v>
      </c>
      <c r="R18" s="152"/>
      <c r="T18" s="161"/>
      <c r="U18" s="162"/>
      <c r="V18" s="163"/>
      <c r="X18" s="164"/>
      <c r="Y18" s="165"/>
      <c r="Z18" s="166"/>
      <c r="AA18" s="165"/>
      <c r="AB18" s="167"/>
      <c r="AC18" s="164"/>
      <c r="AD18" s="167"/>
      <c r="AE18" s="165"/>
      <c r="AF18" s="168"/>
    </row>
    <row r="19" spans="2:32" ht="35.1" customHeight="1" x14ac:dyDescent="0.25">
      <c r="B19" s="144" t="s">
        <v>961</v>
      </c>
      <c r="C19" s="145" t="s">
        <v>960</v>
      </c>
      <c r="D19" s="146" t="s">
        <v>300</v>
      </c>
      <c r="E19" s="160" t="s">
        <v>455</v>
      </c>
      <c r="F19" s="160" t="s">
        <v>378</v>
      </c>
      <c r="G19" s="146"/>
      <c r="H19" s="149" t="s">
        <v>1059</v>
      </c>
      <c r="I19" s="146"/>
      <c r="J19" s="146" t="s">
        <v>1052</v>
      </c>
      <c r="K19" s="146" t="s">
        <v>1025</v>
      </c>
      <c r="L19" s="146" t="s">
        <v>990</v>
      </c>
      <c r="M19" s="146"/>
      <c r="N19" s="146"/>
      <c r="O19" s="146">
        <v>198.9</v>
      </c>
      <c r="P19" s="150">
        <v>3.9</v>
      </c>
      <c r="Q19" s="151">
        <f t="shared" si="1"/>
        <v>775.71</v>
      </c>
      <c r="R19" s="152"/>
      <c r="T19" s="161"/>
      <c r="U19" s="162"/>
      <c r="V19" s="163"/>
      <c r="X19" s="164"/>
      <c r="Y19" s="165"/>
      <c r="Z19" s="166"/>
      <c r="AA19" s="165"/>
      <c r="AB19" s="167"/>
      <c r="AC19" s="164"/>
      <c r="AD19" s="167"/>
      <c r="AE19" s="165"/>
      <c r="AF19" s="168"/>
    </row>
    <row r="20" spans="2:32" ht="35.1" customHeight="1" x14ac:dyDescent="0.25">
      <c r="B20" s="144" t="s">
        <v>961</v>
      </c>
      <c r="C20" s="145" t="s">
        <v>960</v>
      </c>
      <c r="D20" s="146" t="s">
        <v>301</v>
      </c>
      <c r="E20" s="160" t="s">
        <v>456</v>
      </c>
      <c r="F20" s="160" t="s">
        <v>455</v>
      </c>
      <c r="G20" s="146"/>
      <c r="H20" s="149" t="s">
        <v>1059</v>
      </c>
      <c r="I20" s="146"/>
      <c r="J20" s="146" t="s">
        <v>1052</v>
      </c>
      <c r="K20" s="146" t="s">
        <v>1025</v>
      </c>
      <c r="L20" s="146" t="s">
        <v>990</v>
      </c>
      <c r="M20" s="146"/>
      <c r="N20" s="146"/>
      <c r="O20" s="146">
        <v>132.69999999999999</v>
      </c>
      <c r="P20" s="150">
        <v>3.9</v>
      </c>
      <c r="Q20" s="151">
        <f t="shared" si="1"/>
        <v>517.53</v>
      </c>
      <c r="R20" s="152"/>
      <c r="T20" s="161"/>
      <c r="U20" s="162"/>
      <c r="V20" s="163"/>
      <c r="X20" s="164"/>
      <c r="Y20" s="165"/>
      <c r="Z20" s="166"/>
      <c r="AA20" s="165"/>
      <c r="AB20" s="167"/>
      <c r="AC20" s="164"/>
      <c r="AD20" s="167"/>
      <c r="AE20" s="165"/>
      <c r="AF20" s="168"/>
    </row>
    <row r="21" spans="2:32" ht="35.1" customHeight="1" x14ac:dyDescent="0.25">
      <c r="B21" s="144" t="s">
        <v>961</v>
      </c>
      <c r="C21" s="145" t="s">
        <v>960</v>
      </c>
      <c r="D21" s="146" t="s">
        <v>158</v>
      </c>
      <c r="E21" s="160" t="s">
        <v>369</v>
      </c>
      <c r="F21" s="160" t="s">
        <v>370</v>
      </c>
      <c r="G21" s="146"/>
      <c r="H21" s="149" t="s">
        <v>799</v>
      </c>
      <c r="I21" s="146"/>
      <c r="J21" s="146" t="s">
        <v>1052</v>
      </c>
      <c r="K21" s="146" t="s">
        <v>1025</v>
      </c>
      <c r="L21" s="146" t="s">
        <v>990</v>
      </c>
      <c r="M21" s="146"/>
      <c r="N21" s="146"/>
      <c r="O21" s="146">
        <v>159.80000000000001</v>
      </c>
      <c r="P21" s="150">
        <v>3.9</v>
      </c>
      <c r="Q21" s="151">
        <f t="shared" si="0"/>
        <v>623.22</v>
      </c>
      <c r="R21" s="152"/>
      <c r="T21" s="161"/>
      <c r="U21" s="162"/>
      <c r="V21" s="163"/>
      <c r="X21" s="164"/>
      <c r="Y21" s="165"/>
      <c r="Z21" s="166"/>
      <c r="AA21" s="165"/>
      <c r="AB21" s="167"/>
      <c r="AC21" s="164"/>
      <c r="AD21" s="167"/>
      <c r="AE21" s="165"/>
      <c r="AF21" s="168"/>
    </row>
    <row r="22" spans="2:32" ht="35.1" customHeight="1" x14ac:dyDescent="0.25">
      <c r="B22" s="144" t="s">
        <v>961</v>
      </c>
      <c r="C22" s="145" t="s">
        <v>960</v>
      </c>
      <c r="D22" s="146" t="s">
        <v>159</v>
      </c>
      <c r="E22" s="160" t="s">
        <v>370</v>
      </c>
      <c r="F22" s="160" t="s">
        <v>371</v>
      </c>
      <c r="G22" s="146"/>
      <c r="H22" s="149" t="s">
        <v>799</v>
      </c>
      <c r="I22" s="146"/>
      <c r="J22" s="146" t="s">
        <v>1052</v>
      </c>
      <c r="K22" s="146" t="s">
        <v>1025</v>
      </c>
      <c r="L22" s="146" t="s">
        <v>990</v>
      </c>
      <c r="M22" s="146"/>
      <c r="N22" s="146"/>
      <c r="O22" s="146">
        <v>37.1</v>
      </c>
      <c r="P22" s="150">
        <v>3.9</v>
      </c>
      <c r="Q22" s="151">
        <f t="shared" si="0"/>
        <v>144.69</v>
      </c>
      <c r="R22" s="152"/>
      <c r="T22" s="161"/>
      <c r="U22" s="162"/>
      <c r="V22" s="163"/>
      <c r="X22" s="164"/>
      <c r="Y22" s="165"/>
      <c r="Z22" s="166"/>
      <c r="AA22" s="165"/>
      <c r="AB22" s="167"/>
      <c r="AC22" s="164"/>
      <c r="AD22" s="167"/>
      <c r="AE22" s="165"/>
      <c r="AF22" s="168"/>
    </row>
    <row r="23" spans="2:32" ht="35.1" customHeight="1" x14ac:dyDescent="0.25">
      <c r="B23" s="144"/>
      <c r="C23" s="145"/>
      <c r="D23" s="146"/>
      <c r="E23" s="147" t="s">
        <v>948</v>
      </c>
      <c r="F23" s="148">
        <f>+I2-1</f>
        <v>46115</v>
      </c>
      <c r="G23" s="147"/>
      <c r="H23" s="149"/>
      <c r="I23" s="146"/>
      <c r="J23" s="146"/>
      <c r="K23" s="146"/>
      <c r="L23" s="146"/>
      <c r="M23" s="146"/>
      <c r="N23" s="146"/>
      <c r="O23" s="146"/>
      <c r="P23" s="150"/>
      <c r="Q23" s="151">
        <f t="shared" si="0"/>
        <v>0</v>
      </c>
      <c r="R23" s="152"/>
      <c r="T23" s="161"/>
      <c r="U23" s="162"/>
      <c r="V23" s="163"/>
      <c r="X23" s="164"/>
      <c r="Y23" s="165"/>
      <c r="Z23" s="166"/>
      <c r="AA23" s="165"/>
      <c r="AB23" s="167"/>
      <c r="AC23" s="164"/>
      <c r="AD23" s="167"/>
      <c r="AE23" s="165"/>
      <c r="AF23" s="168"/>
    </row>
    <row r="24" spans="2:32" ht="35.1" customHeight="1" x14ac:dyDescent="0.25">
      <c r="B24" s="144" t="s">
        <v>961</v>
      </c>
      <c r="C24" s="145" t="s">
        <v>960</v>
      </c>
      <c r="D24" s="146" t="s">
        <v>160</v>
      </c>
      <c r="E24" s="160" t="s">
        <v>371</v>
      </c>
      <c r="F24" s="160" t="s">
        <v>372</v>
      </c>
      <c r="G24" s="146"/>
      <c r="H24" s="149" t="s">
        <v>799</v>
      </c>
      <c r="I24" s="146"/>
      <c r="J24" s="146" t="s">
        <v>1052</v>
      </c>
      <c r="K24" s="146" t="s">
        <v>1025</v>
      </c>
      <c r="L24" s="146" t="s">
        <v>990</v>
      </c>
      <c r="M24" s="146"/>
      <c r="N24" s="146"/>
      <c r="O24" s="146">
        <v>66.599999999999994</v>
      </c>
      <c r="P24" s="150">
        <v>3.9</v>
      </c>
      <c r="Q24" s="151">
        <f t="shared" ref="Q24:Q25" si="2">+O24*P24</f>
        <v>259.73999999999995</v>
      </c>
      <c r="R24" s="152"/>
      <c r="T24" s="161"/>
      <c r="U24" s="162"/>
      <c r="V24" s="163"/>
      <c r="X24" s="164"/>
      <c r="Y24" s="165"/>
      <c r="Z24" s="166"/>
      <c r="AA24" s="165"/>
      <c r="AB24" s="167"/>
      <c r="AC24" s="164"/>
      <c r="AD24" s="167"/>
      <c r="AE24" s="165"/>
      <c r="AF24" s="168"/>
    </row>
    <row r="25" spans="2:32" ht="35.1" customHeight="1" x14ac:dyDescent="0.25">
      <c r="B25" s="144" t="s">
        <v>961</v>
      </c>
      <c r="C25" s="145" t="s">
        <v>960</v>
      </c>
      <c r="D25" s="146" t="s">
        <v>309</v>
      </c>
      <c r="E25" s="160" t="s">
        <v>465</v>
      </c>
      <c r="F25" s="160" t="s">
        <v>464</v>
      </c>
      <c r="G25" s="146"/>
      <c r="H25" s="149" t="s">
        <v>1069</v>
      </c>
      <c r="I25" s="146"/>
      <c r="J25" s="146" t="s">
        <v>1052</v>
      </c>
      <c r="K25" s="146" t="s">
        <v>1025</v>
      </c>
      <c r="L25" s="146" t="s">
        <v>990</v>
      </c>
      <c r="M25" s="146"/>
      <c r="N25" s="146"/>
      <c r="O25" s="146">
        <v>168.1</v>
      </c>
      <c r="P25" s="150">
        <v>3.9</v>
      </c>
      <c r="Q25" s="151">
        <f t="shared" si="2"/>
        <v>655.58999999999992</v>
      </c>
      <c r="R25" s="152"/>
      <c r="T25" s="161"/>
      <c r="U25" s="162"/>
      <c r="V25" s="163"/>
      <c r="X25" s="164"/>
      <c r="Y25" s="165"/>
      <c r="Z25" s="166"/>
      <c r="AA25" s="165"/>
      <c r="AB25" s="167"/>
      <c r="AC25" s="164"/>
      <c r="AD25" s="167"/>
      <c r="AE25" s="165"/>
      <c r="AF25" s="168"/>
    </row>
    <row r="26" spans="2:32" ht="35.1" customHeight="1" x14ac:dyDescent="0.25">
      <c r="B26" s="144" t="s">
        <v>961</v>
      </c>
      <c r="C26" s="145" t="s">
        <v>960</v>
      </c>
      <c r="D26" s="146" t="s">
        <v>310</v>
      </c>
      <c r="E26" s="160" t="s">
        <v>466</v>
      </c>
      <c r="F26" s="160" t="s">
        <v>465</v>
      </c>
      <c r="G26" s="146"/>
      <c r="H26" s="149" t="s">
        <v>1069</v>
      </c>
      <c r="I26" s="146"/>
      <c r="J26" s="146" t="s">
        <v>1052</v>
      </c>
      <c r="K26" s="146" t="s">
        <v>1025</v>
      </c>
      <c r="L26" s="146" t="s">
        <v>990</v>
      </c>
      <c r="M26" s="146"/>
      <c r="N26" s="146"/>
      <c r="O26" s="146">
        <v>71.099999999999994</v>
      </c>
      <c r="P26" s="150">
        <v>3.9</v>
      </c>
      <c r="Q26" s="151">
        <f t="shared" ref="Q26:Q27" si="3">+O26*P26</f>
        <v>277.28999999999996</v>
      </c>
      <c r="R26" s="152"/>
      <c r="T26" s="161"/>
      <c r="U26" s="162"/>
      <c r="V26" s="163"/>
      <c r="X26" s="164"/>
      <c r="Y26" s="165"/>
      <c r="Z26" s="166"/>
      <c r="AA26" s="165"/>
      <c r="AB26" s="167"/>
      <c r="AC26" s="164"/>
      <c r="AD26" s="167"/>
      <c r="AE26" s="165"/>
      <c r="AF26" s="168"/>
    </row>
    <row r="27" spans="2:32" ht="35.1" customHeight="1" x14ac:dyDescent="0.25">
      <c r="B27" s="144" t="s">
        <v>961</v>
      </c>
      <c r="C27" s="145" t="s">
        <v>960</v>
      </c>
      <c r="D27" s="146" t="s">
        <v>157</v>
      </c>
      <c r="E27" s="160" t="s">
        <v>368</v>
      </c>
      <c r="F27" s="160" t="s">
        <v>369</v>
      </c>
      <c r="G27" s="146"/>
      <c r="H27" s="149" t="s">
        <v>1069</v>
      </c>
      <c r="I27" s="146"/>
      <c r="J27" s="146" t="s">
        <v>1052</v>
      </c>
      <c r="K27" s="146" t="s">
        <v>1025</v>
      </c>
      <c r="L27" s="146" t="s">
        <v>990</v>
      </c>
      <c r="M27" s="146"/>
      <c r="N27" s="146"/>
      <c r="O27" s="146">
        <v>77.3</v>
      </c>
      <c r="P27" s="150">
        <v>3.9</v>
      </c>
      <c r="Q27" s="151">
        <f t="shared" si="3"/>
        <v>301.46999999999997</v>
      </c>
      <c r="R27" s="152"/>
      <c r="T27" s="161"/>
      <c r="U27" s="162"/>
      <c r="V27" s="163"/>
      <c r="X27" s="164"/>
      <c r="Y27" s="165"/>
      <c r="Z27" s="166"/>
      <c r="AA27" s="165"/>
      <c r="AB27" s="167"/>
      <c r="AC27" s="164"/>
      <c r="AD27" s="167"/>
      <c r="AE27" s="165"/>
      <c r="AF27" s="168"/>
    </row>
    <row r="28" spans="2:32" ht="35.1" customHeight="1" x14ac:dyDescent="0.25">
      <c r="B28" s="144"/>
      <c r="C28" s="145"/>
      <c r="D28" s="146"/>
      <c r="E28" s="160"/>
      <c r="F28" s="160"/>
      <c r="G28" s="146"/>
      <c r="H28" s="149"/>
      <c r="I28" s="146"/>
      <c r="J28" s="146"/>
      <c r="K28" s="146"/>
      <c r="L28" s="146"/>
      <c r="M28" s="146"/>
      <c r="N28" s="146"/>
      <c r="O28" s="146"/>
      <c r="P28" s="150"/>
      <c r="Q28" s="151">
        <f t="shared" si="0"/>
        <v>0</v>
      </c>
      <c r="R28" s="152"/>
      <c r="T28" s="161"/>
      <c r="U28" s="162"/>
      <c r="V28" s="163"/>
      <c r="X28" s="164"/>
      <c r="Y28" s="165"/>
      <c r="Z28" s="166"/>
      <c r="AA28" s="165"/>
      <c r="AB28" s="167"/>
      <c r="AC28" s="164"/>
      <c r="AD28" s="167"/>
      <c r="AE28" s="165"/>
      <c r="AF28" s="168"/>
    </row>
    <row r="29" spans="2:32" ht="35.1" customHeight="1" x14ac:dyDescent="0.25">
      <c r="B29" s="144"/>
      <c r="C29" s="145"/>
      <c r="D29" s="146"/>
      <c r="E29" s="160"/>
      <c r="F29" s="160"/>
      <c r="G29" s="146"/>
      <c r="H29" s="149"/>
      <c r="I29" s="146" t="s">
        <v>1070</v>
      </c>
      <c r="J29" s="146"/>
      <c r="K29" s="146"/>
      <c r="L29" s="146"/>
      <c r="M29" s="146"/>
      <c r="N29" s="146"/>
      <c r="O29" s="146"/>
      <c r="P29" s="150"/>
      <c r="Q29" s="151">
        <f t="shared" si="0"/>
        <v>0</v>
      </c>
      <c r="R29" s="152"/>
      <c r="T29" s="161"/>
      <c r="U29" s="162"/>
      <c r="V29" s="163"/>
      <c r="X29" s="164"/>
      <c r="Y29" s="165"/>
      <c r="Z29" s="166"/>
      <c r="AA29" s="165"/>
      <c r="AB29" s="167"/>
      <c r="AC29" s="164"/>
      <c r="AD29" s="167"/>
      <c r="AE29" s="165"/>
      <c r="AF29" s="168"/>
    </row>
    <row r="30" spans="2:32" ht="35.1" customHeight="1" x14ac:dyDescent="0.25">
      <c r="B30" s="144"/>
      <c r="C30" s="145"/>
      <c r="D30" s="146"/>
      <c r="E30" s="147" t="s">
        <v>949</v>
      </c>
      <c r="F30" s="148">
        <f>+I2</f>
        <v>46116</v>
      </c>
      <c r="G30" s="147"/>
      <c r="H30" s="149"/>
      <c r="I30" s="146"/>
      <c r="J30" s="146"/>
      <c r="K30" s="146"/>
      <c r="L30" s="146"/>
      <c r="M30" s="146"/>
      <c r="N30" s="146"/>
      <c r="O30" s="146"/>
      <c r="P30" s="150"/>
      <c r="Q30" s="151">
        <f t="shared" si="0"/>
        <v>0</v>
      </c>
      <c r="R30" s="152"/>
      <c r="T30" s="169"/>
      <c r="U30" s="170"/>
      <c r="V30" s="163"/>
      <c r="X30" s="164"/>
      <c r="Y30" s="165"/>
      <c r="Z30" s="166"/>
      <c r="AA30" s="165"/>
      <c r="AB30" s="167"/>
      <c r="AC30" s="164"/>
      <c r="AD30" s="167"/>
      <c r="AE30" s="165"/>
      <c r="AF30" s="168"/>
    </row>
    <row r="31" spans="2:32" ht="35.1" customHeight="1" thickBot="1" x14ac:dyDescent="0.3">
      <c r="B31" s="171"/>
      <c r="C31" s="172"/>
      <c r="D31" s="173"/>
      <c r="E31" s="174"/>
      <c r="F31" s="174"/>
      <c r="G31" s="173"/>
      <c r="H31" s="175"/>
      <c r="I31" s="173"/>
      <c r="J31" s="173"/>
      <c r="K31" s="173"/>
      <c r="L31" s="173"/>
      <c r="M31" s="173"/>
      <c r="N31" s="173"/>
      <c r="O31" s="173"/>
      <c r="P31" s="176"/>
      <c r="Q31" s="151">
        <f t="shared" si="0"/>
        <v>0</v>
      </c>
      <c r="R31" s="177"/>
      <c r="T31" s="178"/>
      <c r="U31" s="179"/>
      <c r="V31" s="180"/>
      <c r="X31" s="164"/>
      <c r="Y31" s="165"/>
      <c r="Z31" s="166"/>
      <c r="AA31" s="165"/>
      <c r="AB31" s="167"/>
      <c r="AC31" s="164"/>
      <c r="AD31" s="167"/>
      <c r="AE31" s="165"/>
      <c r="AF31" s="168"/>
    </row>
    <row r="32" spans="2:32" ht="35.1" customHeight="1" thickBot="1" x14ac:dyDescent="0.35">
      <c r="B32" s="181"/>
      <c r="C32" s="182"/>
      <c r="D32" s="182"/>
      <c r="E32" s="182"/>
      <c r="F32" s="183"/>
      <c r="G32" s="183"/>
      <c r="H32" s="183"/>
      <c r="I32" s="182"/>
      <c r="J32" s="182"/>
      <c r="K32" s="184"/>
      <c r="L32" s="182"/>
      <c r="M32" s="182"/>
      <c r="N32" s="185"/>
      <c r="O32" s="185"/>
      <c r="P32" s="186" t="s">
        <v>950</v>
      </c>
      <c r="Q32" s="187">
        <f>SUM(Q9:Q31)</f>
        <v>6868.46</v>
      </c>
      <c r="R32" s="188"/>
      <c r="X32" s="189"/>
      <c r="Y32" s="190"/>
      <c r="Z32" s="190"/>
      <c r="AA32" s="190"/>
      <c r="AB32" s="191">
        <f>SUM(AB9:AB31)</f>
        <v>0</v>
      </c>
      <c r="AC32" s="189"/>
      <c r="AD32" s="191">
        <f>SUM(AD9:AD31)</f>
        <v>0</v>
      </c>
      <c r="AE32" s="190"/>
      <c r="AF32" s="192">
        <f t="shared" ref="AF32" si="4">SUM(AF9:AF31)</f>
        <v>0</v>
      </c>
    </row>
    <row r="33" spans="2:18" ht="15" customHeight="1" thickBot="1" x14ac:dyDescent="0.3">
      <c r="B33" s="193" t="s">
        <v>951</v>
      </c>
      <c r="C33" s="194"/>
      <c r="D33" s="195"/>
      <c r="E33" s="195"/>
      <c r="F33" s="195"/>
      <c r="G33" s="195"/>
      <c r="H33" s="195"/>
      <c r="I33" s="124"/>
      <c r="J33" s="124"/>
      <c r="K33" s="124"/>
      <c r="L33" s="124"/>
      <c r="M33" s="124"/>
      <c r="N33" s="124"/>
      <c r="O33" s="124"/>
      <c r="P33" s="124"/>
      <c r="Q33" s="124"/>
      <c r="R33" s="196"/>
    </row>
    <row r="34" spans="2:18" ht="15" customHeight="1" thickBot="1" x14ac:dyDescent="0.3">
      <c r="B34" s="197"/>
      <c r="C34" s="195"/>
      <c r="D34" s="195"/>
      <c r="E34" s="195"/>
      <c r="F34" s="195"/>
      <c r="G34" s="195"/>
      <c r="H34" s="195"/>
      <c r="I34" s="198"/>
      <c r="J34" s="198"/>
      <c r="K34" s="198"/>
      <c r="L34" s="198"/>
      <c r="M34" s="198"/>
      <c r="N34" s="198"/>
      <c r="O34" s="198"/>
      <c r="P34" s="198"/>
      <c r="Q34" s="198"/>
      <c r="R34" s="199"/>
    </row>
    <row r="35" spans="2:18" ht="15" customHeight="1" thickBot="1" x14ac:dyDescent="0.3">
      <c r="B35" s="197"/>
      <c r="C35" s="195"/>
      <c r="D35" s="195"/>
      <c r="E35" s="195"/>
      <c r="F35" s="195"/>
      <c r="G35" s="195"/>
      <c r="H35" s="195"/>
      <c r="I35" s="198"/>
      <c r="J35" s="198"/>
      <c r="K35" s="198"/>
      <c r="L35" s="198"/>
      <c r="M35" s="198"/>
      <c r="N35" s="198"/>
      <c r="O35" s="198"/>
      <c r="P35" s="198"/>
      <c r="Q35" s="198"/>
      <c r="R35" s="199"/>
    </row>
    <row r="36" spans="2:18" ht="15" customHeight="1" thickBot="1" x14ac:dyDescent="0.3">
      <c r="B36" s="197"/>
      <c r="C36" s="195"/>
      <c r="D36" s="195"/>
      <c r="E36" s="195"/>
      <c r="F36" s="195"/>
      <c r="G36" s="195"/>
      <c r="H36" s="195"/>
      <c r="I36" s="198"/>
      <c r="J36" s="198"/>
      <c r="K36" s="198"/>
      <c r="L36" s="198"/>
      <c r="M36" s="198"/>
      <c r="N36" s="198"/>
      <c r="O36" s="198"/>
      <c r="P36" s="198"/>
      <c r="Q36" s="198"/>
      <c r="R36" s="199"/>
    </row>
    <row r="37" spans="2:18" ht="18.75" thickBot="1" x14ac:dyDescent="0.3">
      <c r="B37" s="197"/>
      <c r="C37" s="195"/>
      <c r="D37" s="195"/>
      <c r="E37" s="195"/>
      <c r="F37" s="195"/>
      <c r="G37" s="195"/>
      <c r="H37" s="195"/>
      <c r="I37" s="198"/>
      <c r="J37" s="198"/>
      <c r="K37" s="198"/>
      <c r="L37" s="198"/>
      <c r="M37" s="198"/>
      <c r="N37" s="198"/>
      <c r="O37" s="198"/>
      <c r="P37" s="198"/>
      <c r="Q37" s="198"/>
      <c r="R37" s="199"/>
    </row>
    <row r="38" spans="2:18" ht="18.75" thickBot="1" x14ac:dyDescent="0.3">
      <c r="B38" s="230"/>
      <c r="C38" s="231"/>
      <c r="D38" s="231"/>
      <c r="E38" s="231"/>
      <c r="F38" s="231"/>
      <c r="G38" s="231"/>
      <c r="H38" s="231"/>
      <c r="I38" s="198"/>
      <c r="J38" s="198"/>
      <c r="K38" s="198"/>
      <c r="L38" s="198"/>
      <c r="M38" s="198"/>
      <c r="N38" s="198"/>
      <c r="O38" s="198"/>
      <c r="P38" s="198"/>
      <c r="Q38" s="198"/>
      <c r="R38" s="200"/>
    </row>
    <row r="39" spans="2:18" ht="18.75" thickBot="1" x14ac:dyDescent="0.3">
      <c r="B39" s="230"/>
      <c r="C39" s="231"/>
      <c r="D39" s="231"/>
      <c r="E39" s="231"/>
      <c r="F39" s="231"/>
      <c r="G39" s="231"/>
      <c r="H39" s="231"/>
      <c r="I39" s="201"/>
      <c r="J39" s="201"/>
      <c r="K39" s="201"/>
      <c r="L39" s="201"/>
      <c r="M39" s="201"/>
      <c r="N39" s="201"/>
      <c r="O39" s="201"/>
      <c r="P39" s="201"/>
      <c r="Q39" s="201"/>
      <c r="R39" s="202"/>
    </row>
    <row r="40" spans="2:18" x14ac:dyDescent="0.25">
      <c r="B40" s="124"/>
      <c r="C40" s="124"/>
      <c r="D40" s="124"/>
      <c r="E40" s="124"/>
      <c r="F40" s="124"/>
      <c r="G40" s="124"/>
      <c r="H40" s="124"/>
      <c r="I40" s="124"/>
      <c r="J40" s="124"/>
      <c r="K40" s="124"/>
      <c r="L40" s="124"/>
      <c r="M40" s="124"/>
      <c r="N40" s="124"/>
      <c r="O40" s="124"/>
      <c r="P40" s="124"/>
      <c r="Q40" s="124"/>
      <c r="R40" s="124"/>
    </row>
    <row r="508" spans="2:16" x14ac:dyDescent="0.25">
      <c r="H508" s="203" t="s">
        <v>952</v>
      </c>
      <c r="I508" s="203" t="s">
        <v>953</v>
      </c>
      <c r="J508" s="203" t="s">
        <v>936</v>
      </c>
      <c r="K508" s="203" t="s">
        <v>954</v>
      </c>
      <c r="L508" s="203" t="s">
        <v>955</v>
      </c>
      <c r="M508" s="203" t="s">
        <v>955</v>
      </c>
      <c r="N508" s="203" t="s">
        <v>956</v>
      </c>
      <c r="P508" s="203" t="s">
        <v>957</v>
      </c>
    </row>
    <row r="509" spans="2:16" ht="18" x14ac:dyDescent="0.25">
      <c r="B509" s="198" t="s">
        <v>958</v>
      </c>
      <c r="D509" s="124" t="s">
        <v>959</v>
      </c>
      <c r="E509" s="124" t="s">
        <v>960</v>
      </c>
      <c r="F509" s="124" t="s">
        <v>961</v>
      </c>
      <c r="G509" s="124"/>
      <c r="H509" s="203" t="s">
        <v>962</v>
      </c>
      <c r="I509" s="203" t="s">
        <v>963</v>
      </c>
      <c r="J509" s="204">
        <v>0.92</v>
      </c>
      <c r="K509" s="203" t="s">
        <v>964</v>
      </c>
      <c r="L509" s="203" t="s">
        <v>965</v>
      </c>
      <c r="M509" s="203" t="s">
        <v>965</v>
      </c>
      <c r="N509" s="203" t="s">
        <v>966</v>
      </c>
      <c r="P509" s="203" t="s">
        <v>967</v>
      </c>
    </row>
    <row r="510" spans="2:16" ht="18" x14ac:dyDescent="0.25">
      <c r="B510" s="198" t="s">
        <v>968</v>
      </c>
      <c r="D510" s="124" t="s">
        <v>969</v>
      </c>
      <c r="E510" s="124" t="s">
        <v>970</v>
      </c>
      <c r="F510" s="124" t="s">
        <v>971</v>
      </c>
      <c r="G510" s="124"/>
      <c r="H510" s="203" t="s">
        <v>959</v>
      </c>
      <c r="I510" s="203" t="s">
        <v>972</v>
      </c>
      <c r="J510" s="204">
        <v>0.95</v>
      </c>
      <c r="K510" s="203" t="s">
        <v>973</v>
      </c>
      <c r="L510" s="203" t="s">
        <v>974</v>
      </c>
      <c r="M510" s="203" t="s">
        <v>974</v>
      </c>
      <c r="N510" s="203" t="s">
        <v>975</v>
      </c>
      <c r="P510" s="203" t="s">
        <v>976</v>
      </c>
    </row>
    <row r="511" spans="2:16" ht="18" x14ac:dyDescent="0.25">
      <c r="B511" s="198" t="s">
        <v>977</v>
      </c>
      <c r="D511" s="124" t="s">
        <v>978</v>
      </c>
      <c r="E511" s="124" t="s">
        <v>979</v>
      </c>
      <c r="F511" s="124"/>
      <c r="G511" s="124"/>
      <c r="H511" s="203" t="s">
        <v>969</v>
      </c>
      <c r="I511" s="203" t="s">
        <v>980</v>
      </c>
      <c r="J511" s="204">
        <v>0.98</v>
      </c>
      <c r="K511" s="203" t="s">
        <v>981</v>
      </c>
      <c r="L511" s="203"/>
      <c r="M511" s="203"/>
      <c r="N511" s="203" t="s">
        <v>982</v>
      </c>
    </row>
    <row r="512" spans="2:16" ht="18" x14ac:dyDescent="0.25">
      <c r="B512" s="198" t="s">
        <v>983</v>
      </c>
      <c r="D512" s="124" t="s">
        <v>984</v>
      </c>
      <c r="E512" s="124"/>
      <c r="H512" s="203" t="s">
        <v>985</v>
      </c>
      <c r="I512" s="203" t="s">
        <v>986</v>
      </c>
      <c r="J512" s="204"/>
      <c r="K512" s="203" t="s">
        <v>987</v>
      </c>
      <c r="N512" s="203" t="s">
        <v>988</v>
      </c>
    </row>
    <row r="513" spans="2:14" ht="18" x14ac:dyDescent="0.25">
      <c r="B513" s="198" t="s">
        <v>989</v>
      </c>
      <c r="D513" s="124" t="s">
        <v>990</v>
      </c>
      <c r="H513" s="203" t="s">
        <v>991</v>
      </c>
      <c r="I513" s="203" t="s">
        <v>992</v>
      </c>
      <c r="K513" s="203" t="s">
        <v>993</v>
      </c>
      <c r="N513" s="203"/>
    </row>
    <row r="514" spans="2:14" ht="18" x14ac:dyDescent="0.25">
      <c r="B514" s="198" t="s">
        <v>994</v>
      </c>
      <c r="D514" s="124" t="s">
        <v>995</v>
      </c>
      <c r="H514" s="203" t="s">
        <v>978</v>
      </c>
      <c r="I514" s="203" t="s">
        <v>996</v>
      </c>
      <c r="K514" s="203"/>
    </row>
    <row r="515" spans="2:14" ht="18" x14ac:dyDescent="0.25">
      <c r="B515" s="198" t="s">
        <v>997</v>
      </c>
      <c r="D515" s="124" t="s">
        <v>998</v>
      </c>
      <c r="H515" s="203" t="s">
        <v>999</v>
      </c>
      <c r="I515" s="203"/>
    </row>
    <row r="516" spans="2:14" ht="18" x14ac:dyDescent="0.25">
      <c r="B516" s="198" t="s">
        <v>1000</v>
      </c>
      <c r="D516" s="124" t="s">
        <v>1001</v>
      </c>
      <c r="H516" s="203" t="s">
        <v>984</v>
      </c>
    </row>
    <row r="517" spans="2:14" ht="18" x14ac:dyDescent="0.25">
      <c r="B517" s="198" t="s">
        <v>1002</v>
      </c>
      <c r="D517" s="124" t="s">
        <v>1003</v>
      </c>
      <c r="H517" s="203" t="s">
        <v>1004</v>
      </c>
    </row>
    <row r="518" spans="2:14" ht="18" x14ac:dyDescent="0.25">
      <c r="B518" s="198" t="s">
        <v>1005</v>
      </c>
      <c r="D518" s="124" t="s">
        <v>1006</v>
      </c>
      <c r="H518" s="203" t="s">
        <v>990</v>
      </c>
    </row>
    <row r="519" spans="2:14" ht="18" x14ac:dyDescent="0.25">
      <c r="B519" s="198" t="s">
        <v>1007</v>
      </c>
      <c r="D519" s="124" t="s">
        <v>1008</v>
      </c>
      <c r="H519" s="203" t="s">
        <v>1009</v>
      </c>
    </row>
    <row r="520" spans="2:14" ht="18" x14ac:dyDescent="0.25">
      <c r="B520" s="198" t="s">
        <v>1010</v>
      </c>
      <c r="D520" s="124" t="s">
        <v>1011</v>
      </c>
      <c r="H520" s="203" t="s">
        <v>995</v>
      </c>
    </row>
    <row r="521" spans="2:14" ht="18" x14ac:dyDescent="0.25">
      <c r="B521" s="198" t="s">
        <v>1012</v>
      </c>
      <c r="D521" s="124" t="s">
        <v>1013</v>
      </c>
      <c r="H521" s="203" t="s">
        <v>1014</v>
      </c>
    </row>
    <row r="522" spans="2:14" ht="18" x14ac:dyDescent="0.25">
      <c r="B522" s="198" t="s">
        <v>1015</v>
      </c>
      <c r="D522" s="124" t="s">
        <v>1016</v>
      </c>
      <c r="H522" s="203" t="s">
        <v>1017</v>
      </c>
    </row>
    <row r="523" spans="2:14" ht="18" x14ac:dyDescent="0.25">
      <c r="B523" s="198" t="s">
        <v>1018</v>
      </c>
      <c r="D523" s="124"/>
      <c r="H523" s="203" t="s">
        <v>998</v>
      </c>
    </row>
    <row r="524" spans="2:14" ht="18" x14ac:dyDescent="0.25">
      <c r="B524" s="198" t="s">
        <v>1019</v>
      </c>
      <c r="D524" s="124"/>
      <c r="H524" s="203" t="s">
        <v>1020</v>
      </c>
    </row>
    <row r="525" spans="2:14" ht="18" x14ac:dyDescent="0.25">
      <c r="B525" s="198" t="s">
        <v>1021</v>
      </c>
      <c r="D525" s="124"/>
      <c r="H525" s="203" t="s">
        <v>1001</v>
      </c>
    </row>
    <row r="526" spans="2:14" ht="18" x14ac:dyDescent="0.25">
      <c r="B526" s="198" t="s">
        <v>1022</v>
      </c>
      <c r="D526" s="124"/>
      <c r="H526" s="203" t="s">
        <v>1006</v>
      </c>
    </row>
    <row r="527" spans="2:14" ht="18" x14ac:dyDescent="0.25">
      <c r="B527" s="198" t="s">
        <v>1023</v>
      </c>
      <c r="H527" s="203"/>
    </row>
    <row r="528" spans="2:14" ht="18" x14ac:dyDescent="0.25">
      <c r="B528" s="198" t="s">
        <v>1024</v>
      </c>
    </row>
    <row r="529" spans="2:2" ht="18" x14ac:dyDescent="0.25">
      <c r="B529" s="198" t="s">
        <v>1025</v>
      </c>
    </row>
    <row r="530" spans="2:2" ht="18" x14ac:dyDescent="0.25">
      <c r="B530" s="198" t="s">
        <v>1026</v>
      </c>
    </row>
    <row r="531" spans="2:2" ht="18" x14ac:dyDescent="0.25">
      <c r="B531" s="198" t="s">
        <v>1027</v>
      </c>
    </row>
    <row r="532" spans="2:2" ht="18" x14ac:dyDescent="0.25">
      <c r="B532" s="198" t="s">
        <v>1028</v>
      </c>
    </row>
    <row r="533" spans="2:2" ht="18" x14ac:dyDescent="0.25">
      <c r="B533" s="198" t="s">
        <v>1029</v>
      </c>
    </row>
    <row r="534" spans="2:2" ht="18" x14ac:dyDescent="0.25">
      <c r="B534" s="198" t="s">
        <v>1030</v>
      </c>
    </row>
    <row r="535" spans="2:2" ht="18" x14ac:dyDescent="0.25">
      <c r="B535" s="198" t="s">
        <v>1031</v>
      </c>
    </row>
    <row r="536" spans="2:2" ht="18" x14ac:dyDescent="0.25">
      <c r="B536" s="198" t="s">
        <v>1032</v>
      </c>
    </row>
    <row r="537" spans="2:2" ht="18" x14ac:dyDescent="0.25">
      <c r="B537" s="198" t="s">
        <v>1033</v>
      </c>
    </row>
    <row r="538" spans="2:2" ht="18" x14ac:dyDescent="0.25">
      <c r="B538" s="198" t="s">
        <v>1034</v>
      </c>
    </row>
    <row r="539" spans="2:2" ht="18" x14ac:dyDescent="0.25">
      <c r="B539" s="198" t="s">
        <v>1035</v>
      </c>
    </row>
    <row r="540" spans="2:2" ht="18" x14ac:dyDescent="0.25">
      <c r="B540" s="198" t="s">
        <v>1036</v>
      </c>
    </row>
    <row r="541" spans="2:2" ht="18" x14ac:dyDescent="0.25">
      <c r="B541" s="198" t="s">
        <v>1037</v>
      </c>
    </row>
    <row r="542" spans="2:2" ht="18" x14ac:dyDescent="0.25">
      <c r="B542" s="198" t="s">
        <v>1038</v>
      </c>
    </row>
    <row r="543" spans="2:2" ht="18" x14ac:dyDescent="0.25">
      <c r="B543" s="198" t="s">
        <v>1039</v>
      </c>
    </row>
    <row r="544" spans="2:2" ht="18" x14ac:dyDescent="0.25">
      <c r="B544" s="198" t="s">
        <v>1040</v>
      </c>
    </row>
    <row r="545" spans="2:2" ht="18" x14ac:dyDescent="0.25">
      <c r="B545" s="198" t="s">
        <v>1041</v>
      </c>
    </row>
    <row r="552" spans="2:2" ht="18" x14ac:dyDescent="0.25">
      <c r="B552" s="198"/>
    </row>
    <row r="553" spans="2:2" ht="18" x14ac:dyDescent="0.25">
      <c r="B553" s="198"/>
    </row>
  </sheetData>
  <mergeCells count="14">
    <mergeCell ref="B39:H39"/>
    <mergeCell ref="X6:AF6"/>
    <mergeCell ref="T7:V7"/>
    <mergeCell ref="X7:AB7"/>
    <mergeCell ref="AC7:AD7"/>
    <mergeCell ref="AE7:AF7"/>
    <mergeCell ref="B38:H38"/>
    <mergeCell ref="I6:K6"/>
    <mergeCell ref="P6:Q6"/>
    <mergeCell ref="B1:R1"/>
    <mergeCell ref="I2:K2"/>
    <mergeCell ref="B4:D4"/>
    <mergeCell ref="I4:K4"/>
    <mergeCell ref="P4:Q4"/>
  </mergeCells>
  <dataValidations count="11">
    <dataValidation type="list" allowBlank="1" showInputMessage="1" showErrorMessage="1" sqref="K9:K15 K17:K32" xr:uid="{B2A5B356-B1F9-48C1-AD4D-AE2DE60DA617}">
      <formula1>$B$508:$B$545</formula1>
    </dataValidation>
    <dataValidation type="list" allowBlank="1" showInputMessage="1" showErrorMessage="1" sqref="B9:B31" xr:uid="{0CD07A1B-CC27-4166-B913-4AB847088B23}">
      <formula1>$F$508:$F$511</formula1>
    </dataValidation>
    <dataValidation type="list" allowBlank="1" showInputMessage="1" showErrorMessage="1" sqref="C9:C31" xr:uid="{DCCDE4B1-7502-438D-9A36-99D5E26B2155}">
      <formula1>$E$508:$E$512</formula1>
    </dataValidation>
    <dataValidation type="list" allowBlank="1" showInputMessage="1" showErrorMessage="1" sqref="L9:M31" xr:uid="{46FDC13D-F091-486A-B59C-175DD80294E1}">
      <formula1>$D$508:$D$522</formula1>
    </dataValidation>
    <dataValidation type="list" allowBlank="1" showInputMessage="1" showErrorMessage="1" sqref="X9:X31" xr:uid="{F94B87D3-E055-4684-8027-EBEDDFD17142}">
      <formula1>$H$509:$H$527</formula1>
    </dataValidation>
    <dataValidation type="list" allowBlank="1" showInputMessage="1" showErrorMessage="1" sqref="Y9:Y31" xr:uid="{594862DD-DB30-411C-B70C-B4051516A5D9}">
      <formula1>$I$509:$I$515</formula1>
    </dataValidation>
    <dataValidation type="list" allowBlank="1" showInputMessage="1" showErrorMessage="1" sqref="Z9:Z31" xr:uid="{767EC2E8-7A9F-43A4-BE27-38C1BC9492C4}">
      <formula1>$J$509:$J$512</formula1>
    </dataValidation>
    <dataValidation type="list" allowBlank="1" showInputMessage="1" showErrorMessage="1" sqref="AA9:AA31" xr:uid="{14043F41-54BF-42E7-BBEE-439725BD69D9}">
      <formula1>$K$509:$K$514</formula1>
    </dataValidation>
    <dataValidation type="list" allowBlank="1" showInputMessage="1" showErrorMessage="1" sqref="AC9:AC31" xr:uid="{F496D7EC-DC9F-4ABC-8204-98C348D6950A}">
      <formula1>$L$509:$L$511</formula1>
    </dataValidation>
    <dataValidation type="list" allowBlank="1" showInputMessage="1" showErrorMessage="1" sqref="AE9:AE31" xr:uid="{A07952F4-430C-4A06-9ECA-ADFFE93FB6D9}">
      <formula1>$N$509:$N$513</formula1>
    </dataValidation>
    <dataValidation type="list" allowBlank="1" showInputMessage="1" showErrorMessage="1" sqref="T9:U31" xr:uid="{59B1D28E-FECF-48F6-A5BA-0FFA6F8558D5}">
      <formula1>$P$509:$P$510</formula1>
    </dataValidation>
  </dataValidations>
  <printOptions horizontalCentered="1" verticalCentered="1"/>
  <pageMargins left="0" right="0" top="0.25" bottom="0.25" header="0" footer="0"/>
  <pageSetup scale="40" fitToHeight="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D0384-EF90-45DE-BFD5-C6D44B91E412}">
  <dimension ref="A1:AF200"/>
  <sheetViews>
    <sheetView zoomScale="90" zoomScaleNormal="90" workbookViewId="0">
      <pane xSplit="10" ySplit="3" topLeftCell="N4" activePane="bottomRight" state="frozen"/>
      <selection pane="topRight" activeCell="K1" sqref="K1"/>
      <selection pane="bottomLeft" activeCell="A4" sqref="A4"/>
      <selection pane="bottomRight" activeCell="S26" sqref="S26"/>
    </sheetView>
  </sheetViews>
  <sheetFormatPr defaultRowHeight="15" x14ac:dyDescent="0.25"/>
  <cols>
    <col min="1" max="2" width="9.140625" style="92"/>
    <col min="3" max="4" width="13.5703125" style="92" customWidth="1"/>
    <col min="5" max="5" width="9.5703125" style="92" customWidth="1"/>
    <col min="6" max="7" width="9.140625" style="92"/>
    <col min="8" max="8" width="12.28515625" style="92" customWidth="1"/>
    <col min="9" max="9" width="18.42578125" style="92" customWidth="1"/>
    <col min="10" max="10" width="12.28515625" style="92" customWidth="1"/>
    <col min="11" max="11" width="15.85546875" style="102" customWidth="1"/>
    <col min="12" max="12" width="20" style="92" customWidth="1"/>
    <col min="13" max="13" width="31" style="92" customWidth="1"/>
    <col min="14" max="14" width="13.85546875" style="102" customWidth="1"/>
    <col min="15" max="21" width="10.140625" style="92" customWidth="1"/>
    <col min="22" max="22" width="17" style="92" customWidth="1"/>
    <col min="23" max="23" width="11.7109375" style="102" customWidth="1"/>
    <col min="24" max="25" width="9.140625" style="92"/>
    <col min="26" max="26" width="9.140625" style="102"/>
    <col min="27" max="30" width="9.140625" style="92"/>
    <col min="31" max="31" width="16.7109375" style="102" customWidth="1"/>
    <col min="32" max="32" width="32.28515625" style="92" customWidth="1"/>
    <col min="33" max="16384" width="9.140625" style="92"/>
  </cols>
  <sheetData>
    <row r="1" spans="1:32" x14ac:dyDescent="0.25">
      <c r="A1" s="250" t="s">
        <v>33</v>
      </c>
      <c r="B1" s="250"/>
      <c r="C1" s="250"/>
      <c r="D1" s="250"/>
      <c r="E1" s="250"/>
      <c r="F1" s="250"/>
      <c r="G1" s="250"/>
      <c r="H1" s="250"/>
      <c r="I1" s="250"/>
      <c r="J1" s="250"/>
      <c r="K1" s="250"/>
      <c r="L1" s="250"/>
      <c r="M1" s="250"/>
      <c r="N1" s="250"/>
      <c r="O1" s="250"/>
      <c r="P1" s="250"/>
      <c r="Q1" s="250"/>
      <c r="R1" s="250"/>
      <c r="S1" s="250"/>
      <c r="T1" s="250"/>
      <c r="U1" s="250"/>
      <c r="V1" s="250"/>
      <c r="W1" s="250"/>
      <c r="X1" s="250"/>
      <c r="Y1" s="250"/>
      <c r="Z1" s="251"/>
      <c r="AA1" s="251"/>
      <c r="AB1" s="251"/>
      <c r="AC1" s="251"/>
      <c r="AD1" s="250"/>
      <c r="AE1" s="250"/>
      <c r="AF1" s="250"/>
    </row>
    <row r="2" spans="1:32" x14ac:dyDescent="0.25">
      <c r="A2" s="250" t="s">
        <v>1</v>
      </c>
      <c r="B2" s="250"/>
      <c r="C2" s="250"/>
      <c r="D2" s="250"/>
      <c r="E2" s="250"/>
      <c r="F2" s="250"/>
      <c r="G2" s="250"/>
      <c r="H2" s="250"/>
      <c r="I2" s="250"/>
      <c r="J2" s="250"/>
      <c r="K2" s="252"/>
      <c r="L2" s="91" t="s">
        <v>34</v>
      </c>
      <c r="M2" s="93"/>
      <c r="N2" s="253" t="s">
        <v>35</v>
      </c>
      <c r="O2" s="250"/>
      <c r="P2" s="250"/>
      <c r="Q2" s="250"/>
      <c r="R2" s="250"/>
      <c r="S2" s="250"/>
      <c r="T2" s="250"/>
      <c r="U2" s="250"/>
      <c r="V2" s="250"/>
      <c r="W2" s="254" t="s">
        <v>36</v>
      </c>
      <c r="X2" s="255"/>
      <c r="Y2" s="255"/>
      <c r="Z2" s="254" t="s">
        <v>154</v>
      </c>
      <c r="AA2" s="255"/>
      <c r="AB2" s="255"/>
      <c r="AC2" s="255"/>
      <c r="AD2" s="256"/>
      <c r="AE2" s="17"/>
      <c r="AF2" s="11"/>
    </row>
    <row r="3" spans="1:32" s="94" customFormat="1" ht="45" x14ac:dyDescent="0.25">
      <c r="A3" s="1" t="s">
        <v>37</v>
      </c>
      <c r="B3" s="1" t="s">
        <v>12</v>
      </c>
      <c r="C3" s="1" t="s">
        <v>38</v>
      </c>
      <c r="D3" s="1" t="s">
        <v>11</v>
      </c>
      <c r="E3" s="1" t="s">
        <v>39</v>
      </c>
      <c r="F3" s="3" t="s">
        <v>40</v>
      </c>
      <c r="G3" s="1" t="s">
        <v>41</v>
      </c>
      <c r="H3" s="4" t="s">
        <v>42</v>
      </c>
      <c r="I3" s="4" t="s">
        <v>13</v>
      </c>
      <c r="J3" s="4" t="s">
        <v>43</v>
      </c>
      <c r="K3" s="15" t="s">
        <v>44</v>
      </c>
      <c r="L3" s="13" t="s">
        <v>45</v>
      </c>
      <c r="M3" s="13" t="s">
        <v>129</v>
      </c>
      <c r="N3" s="5" t="s">
        <v>46</v>
      </c>
      <c r="O3" s="1" t="s">
        <v>47</v>
      </c>
      <c r="P3" s="1" t="s">
        <v>48</v>
      </c>
      <c r="Q3" s="1" t="s">
        <v>49</v>
      </c>
      <c r="R3" s="1" t="s">
        <v>50</v>
      </c>
      <c r="S3" s="1" t="s">
        <v>51</v>
      </c>
      <c r="T3" s="1" t="s">
        <v>52</v>
      </c>
      <c r="U3" s="4" t="s">
        <v>53</v>
      </c>
      <c r="V3" s="4" t="s">
        <v>54</v>
      </c>
      <c r="W3" s="8" t="s">
        <v>58</v>
      </c>
      <c r="X3" s="1" t="s">
        <v>49</v>
      </c>
      <c r="Y3" s="1" t="s">
        <v>59</v>
      </c>
      <c r="Z3" s="8" t="s">
        <v>60</v>
      </c>
      <c r="AA3" s="1" t="s">
        <v>55</v>
      </c>
      <c r="AB3" s="1" t="s">
        <v>56</v>
      </c>
      <c r="AC3" s="1" t="s">
        <v>57</v>
      </c>
      <c r="AD3" s="21" t="s">
        <v>61</v>
      </c>
      <c r="AE3" s="15" t="s">
        <v>62</v>
      </c>
      <c r="AF3" s="14" t="s">
        <v>32</v>
      </c>
    </row>
    <row r="4" spans="1:32" x14ac:dyDescent="0.25">
      <c r="A4" s="32" t="s">
        <v>157</v>
      </c>
      <c r="B4" s="32">
        <v>8</v>
      </c>
      <c r="C4" s="32" t="s">
        <v>368</v>
      </c>
      <c r="D4" s="32" t="s">
        <v>369</v>
      </c>
      <c r="E4" s="95"/>
      <c r="F4" s="95"/>
      <c r="G4" s="95"/>
      <c r="H4" s="95"/>
      <c r="I4" s="32" t="s">
        <v>602</v>
      </c>
      <c r="J4" s="96" t="s">
        <v>598</v>
      </c>
      <c r="K4" s="97"/>
      <c r="L4" s="98"/>
      <c r="M4" s="98"/>
      <c r="N4" s="99"/>
      <c r="O4" s="95"/>
      <c r="P4" s="95"/>
      <c r="Q4" s="95"/>
      <c r="R4" s="63">
        <f>IF(AND(Q4&gt;8, L4="CIPP with C/O"), Q4-8, IF(AND(Q4&gt;8, L4="Cleanout Only"), Q4-8, IF(AND(Q4&gt;10, L4="Service Relay"), Q4-10,0)))</f>
        <v>0</v>
      </c>
      <c r="S4" s="95"/>
      <c r="T4" s="95"/>
      <c r="U4" s="95"/>
      <c r="V4" s="95"/>
      <c r="W4" s="100"/>
      <c r="X4" s="95"/>
      <c r="Y4" s="63">
        <f>IF(X4&gt;10, X4-10,0)</f>
        <v>0</v>
      </c>
      <c r="Z4" s="100"/>
      <c r="AA4" s="95"/>
      <c r="AB4" s="95"/>
      <c r="AC4" s="95"/>
      <c r="AD4" s="96"/>
      <c r="AE4" s="97"/>
      <c r="AF4" s="101"/>
    </row>
    <row r="5" spans="1:32" x14ac:dyDescent="0.25">
      <c r="A5" s="32" t="s">
        <v>158</v>
      </c>
      <c r="B5" s="32">
        <v>8</v>
      </c>
      <c r="C5" s="32" t="s">
        <v>369</v>
      </c>
      <c r="D5" s="32" t="s">
        <v>370</v>
      </c>
      <c r="E5" s="95"/>
      <c r="F5" s="95"/>
      <c r="G5" s="95"/>
      <c r="H5" s="95"/>
      <c r="I5" s="32" t="s">
        <v>590</v>
      </c>
      <c r="J5" s="96" t="s">
        <v>588</v>
      </c>
      <c r="K5" s="97"/>
      <c r="L5" s="98"/>
      <c r="M5" s="98"/>
      <c r="N5" s="99"/>
      <c r="O5" s="95"/>
      <c r="P5" s="95"/>
      <c r="Q5" s="95"/>
      <c r="R5" s="63">
        <f t="shared" ref="R5:R68" si="0">IF(AND(Q5&gt;8, L5="CIPP with C/O"), Q5-8, IF(AND(Q5&gt;8, L5="Cleanout Only"), Q5-8, IF(AND(Q5&gt;10, L5="Service Relay"), Q5-10,0)))</f>
        <v>0</v>
      </c>
      <c r="S5" s="95"/>
      <c r="T5" s="95"/>
      <c r="U5" s="95"/>
      <c r="V5" s="95"/>
      <c r="W5" s="100"/>
      <c r="X5" s="95"/>
      <c r="Y5" s="63">
        <f t="shared" ref="Y5:Y68" si="1">IF(X5&gt;10, X5-10,0)</f>
        <v>0</v>
      </c>
      <c r="Z5" s="100"/>
      <c r="AA5" s="95"/>
      <c r="AB5" s="95"/>
      <c r="AC5" s="95"/>
      <c r="AD5" s="96"/>
      <c r="AE5" s="97"/>
      <c r="AF5" s="101"/>
    </row>
    <row r="6" spans="1:32" x14ac:dyDescent="0.25">
      <c r="A6" s="32" t="s">
        <v>159</v>
      </c>
      <c r="B6" s="32">
        <v>8</v>
      </c>
      <c r="C6" s="32" t="s">
        <v>370</v>
      </c>
      <c r="D6" s="32" t="s">
        <v>371</v>
      </c>
      <c r="E6" s="95"/>
      <c r="F6" s="95"/>
      <c r="G6" s="95"/>
      <c r="H6" s="95"/>
      <c r="I6" s="32" t="s">
        <v>590</v>
      </c>
      <c r="J6" s="96" t="s">
        <v>588</v>
      </c>
      <c r="K6" s="97"/>
      <c r="L6" s="98"/>
      <c r="M6" s="98"/>
      <c r="N6" s="99"/>
      <c r="O6" s="95"/>
      <c r="P6" s="95"/>
      <c r="Q6" s="95"/>
      <c r="R6" s="63">
        <f t="shared" si="0"/>
        <v>0</v>
      </c>
      <c r="S6" s="95"/>
      <c r="T6" s="95"/>
      <c r="U6" s="95"/>
      <c r="V6" s="95"/>
      <c r="W6" s="100"/>
      <c r="X6" s="95"/>
      <c r="Y6" s="63">
        <f t="shared" si="1"/>
        <v>0</v>
      </c>
      <c r="Z6" s="100"/>
      <c r="AA6" s="95"/>
      <c r="AB6" s="95"/>
      <c r="AC6" s="95"/>
      <c r="AD6" s="96"/>
      <c r="AE6" s="97"/>
      <c r="AF6" s="101"/>
    </row>
    <row r="7" spans="1:32" x14ac:dyDescent="0.25">
      <c r="A7" s="32" t="s">
        <v>160</v>
      </c>
      <c r="B7" s="32">
        <v>8</v>
      </c>
      <c r="C7" s="32" t="s">
        <v>371</v>
      </c>
      <c r="D7" s="32" t="s">
        <v>372</v>
      </c>
      <c r="E7" s="95"/>
      <c r="F7" s="95"/>
      <c r="G7" s="95"/>
      <c r="H7" s="95"/>
      <c r="I7" s="32" t="s">
        <v>590</v>
      </c>
      <c r="J7" s="96" t="s">
        <v>588</v>
      </c>
      <c r="K7" s="97"/>
      <c r="L7" s="98"/>
      <c r="M7" s="98"/>
      <c r="N7" s="99"/>
      <c r="O7" s="95"/>
      <c r="P7" s="95"/>
      <c r="Q7" s="95"/>
      <c r="R7" s="63">
        <f t="shared" si="0"/>
        <v>0</v>
      </c>
      <c r="S7" s="95"/>
      <c r="T7" s="95"/>
      <c r="U7" s="95"/>
      <c r="V7" s="95"/>
      <c r="W7" s="100"/>
      <c r="X7" s="95"/>
      <c r="Y7" s="63">
        <f t="shared" si="1"/>
        <v>0</v>
      </c>
      <c r="Z7" s="100"/>
      <c r="AA7" s="95"/>
      <c r="AB7" s="95"/>
      <c r="AC7" s="95"/>
      <c r="AD7" s="96"/>
      <c r="AE7" s="97"/>
      <c r="AF7" s="101"/>
    </row>
    <row r="8" spans="1:32" x14ac:dyDescent="0.25">
      <c r="A8" s="32" t="s">
        <v>161</v>
      </c>
      <c r="B8" s="32">
        <v>8</v>
      </c>
      <c r="C8" s="32" t="s">
        <v>372</v>
      </c>
      <c r="D8" s="32" t="s">
        <v>373</v>
      </c>
      <c r="E8" s="95"/>
      <c r="F8" s="95"/>
      <c r="G8" s="95"/>
      <c r="H8" s="95"/>
      <c r="I8" s="32" t="s">
        <v>602</v>
      </c>
      <c r="J8" s="96" t="s">
        <v>598</v>
      </c>
      <c r="K8" s="97"/>
      <c r="L8" s="98"/>
      <c r="M8" s="98"/>
      <c r="N8" s="99"/>
      <c r="O8" s="95"/>
      <c r="P8" s="95"/>
      <c r="Q8" s="95"/>
      <c r="R8" s="63">
        <f t="shared" si="0"/>
        <v>0</v>
      </c>
      <c r="S8" s="95"/>
      <c r="T8" s="95"/>
      <c r="U8" s="95"/>
      <c r="V8" s="95"/>
      <c r="W8" s="100"/>
      <c r="X8" s="95"/>
      <c r="Y8" s="63">
        <f t="shared" si="1"/>
        <v>0</v>
      </c>
      <c r="Z8" s="100"/>
      <c r="AA8" s="95"/>
      <c r="AB8" s="95"/>
      <c r="AC8" s="95"/>
      <c r="AD8" s="96"/>
      <c r="AE8" s="97"/>
      <c r="AF8" s="101"/>
    </row>
    <row r="9" spans="1:32" x14ac:dyDescent="0.25">
      <c r="A9" s="32" t="s">
        <v>162</v>
      </c>
      <c r="B9" s="32">
        <v>8</v>
      </c>
      <c r="C9" s="32" t="s">
        <v>373</v>
      </c>
      <c r="D9" s="32" t="s">
        <v>374</v>
      </c>
      <c r="E9" s="95"/>
      <c r="F9" s="95"/>
      <c r="G9" s="95"/>
      <c r="H9" s="95"/>
      <c r="I9" s="32" t="s">
        <v>590</v>
      </c>
      <c r="J9" s="96" t="s">
        <v>588</v>
      </c>
      <c r="K9" s="97"/>
      <c r="L9" s="98"/>
      <c r="M9" s="98"/>
      <c r="N9" s="99"/>
      <c r="O9" s="95"/>
      <c r="P9" s="95"/>
      <c r="Q9" s="95"/>
      <c r="R9" s="63">
        <f t="shared" si="0"/>
        <v>0</v>
      </c>
      <c r="S9" s="95"/>
      <c r="T9" s="95"/>
      <c r="U9" s="95"/>
      <c r="V9" s="95"/>
      <c r="W9" s="100"/>
      <c r="X9" s="95"/>
      <c r="Y9" s="63">
        <f t="shared" si="1"/>
        <v>0</v>
      </c>
      <c r="Z9" s="100"/>
      <c r="AA9" s="95"/>
      <c r="AB9" s="95"/>
      <c r="AC9" s="95"/>
      <c r="AD9" s="96"/>
      <c r="AE9" s="97"/>
      <c r="AF9" s="101"/>
    </row>
    <row r="10" spans="1:32" x14ac:dyDescent="0.25">
      <c r="A10" s="32" t="s">
        <v>163</v>
      </c>
      <c r="B10" s="32">
        <v>8</v>
      </c>
      <c r="C10" s="32" t="s">
        <v>375</v>
      </c>
      <c r="D10" s="32" t="s">
        <v>373</v>
      </c>
      <c r="E10" s="95"/>
      <c r="F10" s="95"/>
      <c r="G10" s="95"/>
      <c r="H10" s="95"/>
      <c r="I10" s="32" t="s">
        <v>590</v>
      </c>
      <c r="J10" s="96" t="s">
        <v>588</v>
      </c>
      <c r="K10" s="97"/>
      <c r="L10" s="98"/>
      <c r="M10" s="98"/>
      <c r="N10" s="99"/>
      <c r="O10" s="95"/>
      <c r="P10" s="95"/>
      <c r="Q10" s="95"/>
      <c r="R10" s="63">
        <f t="shared" si="0"/>
        <v>0</v>
      </c>
      <c r="S10" s="95"/>
      <c r="T10" s="95"/>
      <c r="U10" s="95"/>
      <c r="V10" s="95"/>
      <c r="W10" s="100"/>
      <c r="X10" s="95"/>
      <c r="Y10" s="63">
        <f t="shared" si="1"/>
        <v>0</v>
      </c>
      <c r="Z10" s="100"/>
      <c r="AA10" s="95"/>
      <c r="AB10" s="95"/>
      <c r="AC10" s="95"/>
      <c r="AD10" s="96"/>
      <c r="AE10" s="97"/>
      <c r="AF10" s="101"/>
    </row>
    <row r="11" spans="1:32" x14ac:dyDescent="0.25">
      <c r="A11" s="32" t="s">
        <v>164</v>
      </c>
      <c r="B11" s="32">
        <v>8</v>
      </c>
      <c r="C11" s="32" t="s">
        <v>376</v>
      </c>
      <c r="D11" s="32" t="s">
        <v>377</v>
      </c>
      <c r="E11" s="95"/>
      <c r="F11" s="95"/>
      <c r="G11" s="95"/>
      <c r="H11" s="95"/>
      <c r="I11" s="32" t="s">
        <v>590</v>
      </c>
      <c r="J11" s="96" t="s">
        <v>588</v>
      </c>
      <c r="K11" s="97"/>
      <c r="L11" s="98"/>
      <c r="M11" s="98"/>
      <c r="N11" s="99"/>
      <c r="O11" s="95"/>
      <c r="P11" s="95"/>
      <c r="Q11" s="95"/>
      <c r="R11" s="63">
        <f t="shared" si="0"/>
        <v>0</v>
      </c>
      <c r="S11" s="95"/>
      <c r="T11" s="95"/>
      <c r="U11" s="95"/>
      <c r="V11" s="95"/>
      <c r="W11" s="100"/>
      <c r="X11" s="95"/>
      <c r="Y11" s="63">
        <f t="shared" si="1"/>
        <v>0</v>
      </c>
      <c r="Z11" s="100"/>
      <c r="AA11" s="95"/>
      <c r="AB11" s="95"/>
      <c r="AC11" s="95"/>
      <c r="AD11" s="96"/>
      <c r="AE11" s="97"/>
      <c r="AF11" s="101"/>
    </row>
    <row r="12" spans="1:32" x14ac:dyDescent="0.25">
      <c r="A12" s="32" t="s">
        <v>165</v>
      </c>
      <c r="B12" s="32">
        <v>8</v>
      </c>
      <c r="C12" s="32" t="s">
        <v>378</v>
      </c>
      <c r="D12" s="32" t="s">
        <v>376</v>
      </c>
      <c r="E12" s="95"/>
      <c r="F12" s="95"/>
      <c r="G12" s="95"/>
      <c r="H12" s="95"/>
      <c r="I12" s="32" t="s">
        <v>604</v>
      </c>
      <c r="J12" s="96" t="s">
        <v>603</v>
      </c>
      <c r="K12" s="97"/>
      <c r="L12" s="98"/>
      <c r="M12" s="98"/>
      <c r="N12" s="99"/>
      <c r="O12" s="95"/>
      <c r="P12" s="95"/>
      <c r="Q12" s="95"/>
      <c r="R12" s="63">
        <f t="shared" si="0"/>
        <v>0</v>
      </c>
      <c r="S12" s="95"/>
      <c r="T12" s="95"/>
      <c r="U12" s="95"/>
      <c r="V12" s="95"/>
      <c r="W12" s="100"/>
      <c r="X12" s="95"/>
      <c r="Y12" s="63">
        <f t="shared" si="1"/>
        <v>0</v>
      </c>
      <c r="Z12" s="100"/>
      <c r="AA12" s="95"/>
      <c r="AB12" s="95"/>
      <c r="AC12" s="95"/>
      <c r="AD12" s="96"/>
      <c r="AE12" s="97"/>
      <c r="AF12" s="101"/>
    </row>
    <row r="13" spans="1:32" x14ac:dyDescent="0.25">
      <c r="A13" s="32" t="s">
        <v>166</v>
      </c>
      <c r="B13" s="32">
        <v>8</v>
      </c>
      <c r="C13" s="32" t="s">
        <v>379</v>
      </c>
      <c r="D13" s="32" t="s">
        <v>376</v>
      </c>
      <c r="E13" s="95"/>
      <c r="F13" s="95"/>
      <c r="G13" s="95"/>
      <c r="H13" s="95"/>
      <c r="I13" s="32" t="s">
        <v>590</v>
      </c>
      <c r="J13" s="96" t="s">
        <v>588</v>
      </c>
      <c r="K13" s="97"/>
      <c r="L13" s="98"/>
      <c r="M13" s="98"/>
      <c r="N13" s="99"/>
      <c r="O13" s="95"/>
      <c r="P13" s="95"/>
      <c r="Q13" s="95"/>
      <c r="R13" s="63">
        <f t="shared" si="0"/>
        <v>0</v>
      </c>
      <c r="S13" s="95"/>
      <c r="T13" s="95"/>
      <c r="U13" s="95"/>
      <c r="V13" s="95"/>
      <c r="W13" s="100"/>
      <c r="X13" s="95"/>
      <c r="Y13" s="63">
        <f t="shared" si="1"/>
        <v>0</v>
      </c>
      <c r="Z13" s="100"/>
      <c r="AA13" s="95"/>
      <c r="AB13" s="95"/>
      <c r="AC13" s="95"/>
      <c r="AD13" s="96"/>
      <c r="AE13" s="97"/>
      <c r="AF13" s="101"/>
    </row>
    <row r="14" spans="1:32" x14ac:dyDescent="0.25">
      <c r="A14" s="32" t="s">
        <v>167</v>
      </c>
      <c r="B14" s="32">
        <v>8</v>
      </c>
      <c r="C14" s="32" t="s">
        <v>380</v>
      </c>
      <c r="D14" s="32" t="s">
        <v>375</v>
      </c>
      <c r="E14" s="95"/>
      <c r="F14" s="95"/>
      <c r="G14" s="95"/>
      <c r="H14" s="95"/>
      <c r="I14" s="32" t="s">
        <v>590</v>
      </c>
      <c r="J14" s="96" t="s">
        <v>588</v>
      </c>
      <c r="K14" s="97"/>
      <c r="L14" s="98"/>
      <c r="M14" s="98"/>
      <c r="N14" s="99"/>
      <c r="O14" s="95"/>
      <c r="P14" s="95"/>
      <c r="Q14" s="95"/>
      <c r="R14" s="63">
        <f t="shared" si="0"/>
        <v>0</v>
      </c>
      <c r="S14" s="95"/>
      <c r="T14" s="95"/>
      <c r="U14" s="95"/>
      <c r="V14" s="95"/>
      <c r="W14" s="100"/>
      <c r="X14" s="95"/>
      <c r="Y14" s="63">
        <f t="shared" si="1"/>
        <v>0</v>
      </c>
      <c r="Z14" s="100"/>
      <c r="AA14" s="95"/>
      <c r="AB14" s="95"/>
      <c r="AC14" s="95"/>
      <c r="AD14" s="96"/>
      <c r="AE14" s="97"/>
      <c r="AF14" s="101"/>
    </row>
    <row r="15" spans="1:32" x14ac:dyDescent="0.25">
      <c r="A15" s="32" t="s">
        <v>168</v>
      </c>
      <c r="B15" s="32">
        <v>8</v>
      </c>
      <c r="C15" s="32" t="s">
        <v>381</v>
      </c>
      <c r="D15" s="32" t="s">
        <v>380</v>
      </c>
      <c r="E15" s="95"/>
      <c r="F15" s="95"/>
      <c r="G15" s="95"/>
      <c r="H15" s="95"/>
      <c r="I15" s="32" t="s">
        <v>590</v>
      </c>
      <c r="J15" s="96" t="s">
        <v>588</v>
      </c>
      <c r="K15" s="97"/>
      <c r="L15" s="98"/>
      <c r="M15" s="98"/>
      <c r="N15" s="99"/>
      <c r="O15" s="95"/>
      <c r="P15" s="95"/>
      <c r="Q15" s="95"/>
      <c r="R15" s="63">
        <f t="shared" si="0"/>
        <v>0</v>
      </c>
      <c r="S15" s="95"/>
      <c r="T15" s="95"/>
      <c r="U15" s="95"/>
      <c r="V15" s="95"/>
      <c r="W15" s="100"/>
      <c r="X15" s="95"/>
      <c r="Y15" s="63">
        <f t="shared" si="1"/>
        <v>0</v>
      </c>
      <c r="Z15" s="100"/>
      <c r="AA15" s="95"/>
      <c r="AB15" s="95"/>
      <c r="AC15" s="95"/>
      <c r="AD15" s="96"/>
      <c r="AE15" s="97"/>
      <c r="AF15" s="101"/>
    </row>
    <row r="16" spans="1:32" x14ac:dyDescent="0.25">
      <c r="A16" s="32" t="s">
        <v>169</v>
      </c>
      <c r="B16" s="32">
        <v>8</v>
      </c>
      <c r="C16" s="32" t="s">
        <v>382</v>
      </c>
      <c r="D16" s="32" t="s">
        <v>379</v>
      </c>
      <c r="E16" s="95"/>
      <c r="F16" s="95"/>
      <c r="G16" s="95"/>
      <c r="H16" s="95"/>
      <c r="I16" s="32" t="s">
        <v>590</v>
      </c>
      <c r="J16" s="96" t="s">
        <v>588</v>
      </c>
      <c r="K16" s="97"/>
      <c r="L16" s="98"/>
      <c r="M16" s="98"/>
      <c r="N16" s="99"/>
      <c r="O16" s="95"/>
      <c r="P16" s="95"/>
      <c r="Q16" s="95"/>
      <c r="R16" s="63">
        <f t="shared" si="0"/>
        <v>0</v>
      </c>
      <c r="S16" s="95"/>
      <c r="T16" s="95"/>
      <c r="U16" s="95"/>
      <c r="V16" s="95"/>
      <c r="W16" s="100"/>
      <c r="X16" s="95"/>
      <c r="Y16" s="63">
        <f t="shared" si="1"/>
        <v>0</v>
      </c>
      <c r="Z16" s="100"/>
      <c r="AA16" s="95"/>
      <c r="AB16" s="95"/>
      <c r="AC16" s="95"/>
      <c r="AD16" s="96"/>
      <c r="AE16" s="97"/>
      <c r="AF16" s="101"/>
    </row>
    <row r="17" spans="1:32" x14ac:dyDescent="0.25">
      <c r="A17" s="32" t="s">
        <v>170</v>
      </c>
      <c r="B17" s="32">
        <v>8</v>
      </c>
      <c r="C17" s="32" t="s">
        <v>383</v>
      </c>
      <c r="D17" s="32" t="s">
        <v>384</v>
      </c>
      <c r="E17" s="95"/>
      <c r="F17" s="95"/>
      <c r="G17" s="95"/>
      <c r="H17" s="95"/>
      <c r="I17" s="32" t="s">
        <v>590</v>
      </c>
      <c r="J17" s="96" t="s">
        <v>588</v>
      </c>
      <c r="K17" s="97"/>
      <c r="L17" s="98"/>
      <c r="M17" s="98"/>
      <c r="N17" s="99"/>
      <c r="O17" s="95"/>
      <c r="P17" s="95"/>
      <c r="Q17" s="95"/>
      <c r="R17" s="63">
        <f t="shared" si="0"/>
        <v>0</v>
      </c>
      <c r="S17" s="95"/>
      <c r="T17" s="95"/>
      <c r="U17" s="95"/>
      <c r="V17" s="95"/>
      <c r="W17" s="100"/>
      <c r="X17" s="95"/>
      <c r="Y17" s="63">
        <f t="shared" si="1"/>
        <v>0</v>
      </c>
      <c r="Z17" s="100"/>
      <c r="AA17" s="95"/>
      <c r="AB17" s="95"/>
      <c r="AC17" s="95"/>
      <c r="AD17" s="96"/>
      <c r="AE17" s="97"/>
      <c r="AF17" s="101"/>
    </row>
    <row r="18" spans="1:32" x14ac:dyDescent="0.25">
      <c r="A18" s="32" t="s">
        <v>171</v>
      </c>
      <c r="B18" s="32">
        <v>8</v>
      </c>
      <c r="C18" s="32" t="s">
        <v>385</v>
      </c>
      <c r="D18" s="32" t="s">
        <v>386</v>
      </c>
      <c r="E18" s="95"/>
      <c r="F18" s="95"/>
      <c r="G18" s="95"/>
      <c r="H18" s="95"/>
      <c r="I18" s="32" t="s">
        <v>594</v>
      </c>
      <c r="J18" s="96" t="s">
        <v>588</v>
      </c>
      <c r="K18" s="97"/>
      <c r="L18" s="98"/>
      <c r="M18" s="98"/>
      <c r="N18" s="99"/>
      <c r="O18" s="95"/>
      <c r="P18" s="95"/>
      <c r="Q18" s="95"/>
      <c r="R18" s="63">
        <f t="shared" si="0"/>
        <v>0</v>
      </c>
      <c r="S18" s="95"/>
      <c r="T18" s="95"/>
      <c r="U18" s="95"/>
      <c r="V18" s="95"/>
      <c r="W18" s="100"/>
      <c r="X18" s="95"/>
      <c r="Y18" s="63">
        <f t="shared" si="1"/>
        <v>0</v>
      </c>
      <c r="Z18" s="100"/>
      <c r="AA18" s="95"/>
      <c r="AB18" s="95"/>
      <c r="AC18" s="95"/>
      <c r="AD18" s="96"/>
      <c r="AE18" s="97"/>
      <c r="AF18" s="101"/>
    </row>
    <row r="19" spans="1:32" x14ac:dyDescent="0.25">
      <c r="A19" s="32" t="s">
        <v>172</v>
      </c>
      <c r="B19" s="32">
        <v>8</v>
      </c>
      <c r="C19" s="32" t="s">
        <v>387</v>
      </c>
      <c r="D19" s="32" t="s">
        <v>385</v>
      </c>
      <c r="E19" s="95"/>
      <c r="F19" s="95"/>
      <c r="G19" s="95"/>
      <c r="H19" s="95"/>
      <c r="I19" s="32" t="s">
        <v>594</v>
      </c>
      <c r="J19" s="96" t="s">
        <v>588</v>
      </c>
      <c r="K19" s="97"/>
      <c r="L19" s="98"/>
      <c r="M19" s="98"/>
      <c r="N19" s="99"/>
      <c r="O19" s="95"/>
      <c r="P19" s="95"/>
      <c r="Q19" s="95"/>
      <c r="R19" s="63">
        <f t="shared" si="0"/>
        <v>0</v>
      </c>
      <c r="S19" s="95"/>
      <c r="T19" s="95"/>
      <c r="U19" s="95"/>
      <c r="V19" s="95"/>
      <c r="W19" s="100"/>
      <c r="X19" s="95"/>
      <c r="Y19" s="63">
        <f t="shared" si="1"/>
        <v>0</v>
      </c>
      <c r="Z19" s="100"/>
      <c r="AA19" s="95"/>
      <c r="AB19" s="95"/>
      <c r="AC19" s="95"/>
      <c r="AD19" s="96"/>
      <c r="AE19" s="97"/>
      <c r="AF19" s="101"/>
    </row>
    <row r="20" spans="1:32" x14ac:dyDescent="0.25">
      <c r="A20" s="32" t="s">
        <v>173</v>
      </c>
      <c r="B20" s="32">
        <v>8</v>
      </c>
      <c r="C20" s="32" t="s">
        <v>388</v>
      </c>
      <c r="D20" s="32" t="s">
        <v>387</v>
      </c>
      <c r="E20" s="95"/>
      <c r="F20" s="95"/>
      <c r="G20" s="95"/>
      <c r="H20" s="95"/>
      <c r="I20" s="32" t="s">
        <v>591</v>
      </c>
      <c r="J20" s="96" t="s">
        <v>588</v>
      </c>
      <c r="K20" s="97"/>
      <c r="L20" s="98"/>
      <c r="M20" s="98"/>
      <c r="N20" s="99"/>
      <c r="O20" s="95"/>
      <c r="P20" s="95"/>
      <c r="Q20" s="95"/>
      <c r="R20" s="63">
        <f t="shared" si="0"/>
        <v>0</v>
      </c>
      <c r="S20" s="95"/>
      <c r="T20" s="95"/>
      <c r="U20" s="95"/>
      <c r="V20" s="95"/>
      <c r="W20" s="100"/>
      <c r="X20" s="95"/>
      <c r="Y20" s="63">
        <f t="shared" si="1"/>
        <v>0</v>
      </c>
      <c r="Z20" s="100"/>
      <c r="AA20" s="95"/>
      <c r="AB20" s="95"/>
      <c r="AC20" s="95"/>
      <c r="AD20" s="96"/>
      <c r="AE20" s="97"/>
      <c r="AF20" s="101"/>
    </row>
    <row r="21" spans="1:32" x14ac:dyDescent="0.25">
      <c r="A21" s="32" t="s">
        <v>323</v>
      </c>
      <c r="B21" s="32">
        <v>8</v>
      </c>
      <c r="C21" s="32" t="s">
        <v>389</v>
      </c>
      <c r="D21" s="32" t="s">
        <v>388</v>
      </c>
      <c r="E21" s="95"/>
      <c r="F21" s="95"/>
      <c r="G21" s="95"/>
      <c r="H21" s="95"/>
      <c r="I21" s="32" t="s">
        <v>591</v>
      </c>
      <c r="J21" s="96" t="s">
        <v>588</v>
      </c>
      <c r="K21" s="97"/>
      <c r="L21" s="98"/>
      <c r="M21" s="98"/>
      <c r="N21" s="99"/>
      <c r="O21" s="95"/>
      <c r="P21" s="95"/>
      <c r="Q21" s="95"/>
      <c r="R21" s="63">
        <f t="shared" si="0"/>
        <v>0</v>
      </c>
      <c r="S21" s="95"/>
      <c r="T21" s="95"/>
      <c r="U21" s="95"/>
      <c r="V21" s="95"/>
      <c r="W21" s="100"/>
      <c r="X21" s="95"/>
      <c r="Y21" s="63">
        <f t="shared" si="1"/>
        <v>0</v>
      </c>
      <c r="Z21" s="100"/>
      <c r="AA21" s="95"/>
      <c r="AB21" s="95"/>
      <c r="AC21" s="95"/>
      <c r="AD21" s="96"/>
      <c r="AE21" s="97"/>
      <c r="AF21" s="101"/>
    </row>
    <row r="22" spans="1:32" x14ac:dyDescent="0.25">
      <c r="A22" s="32" t="s">
        <v>324</v>
      </c>
      <c r="B22" s="32">
        <v>8</v>
      </c>
      <c r="C22" s="32" t="s">
        <v>390</v>
      </c>
      <c r="D22" s="32" t="s">
        <v>389</v>
      </c>
      <c r="E22" s="95"/>
      <c r="F22" s="95"/>
      <c r="G22" s="95"/>
      <c r="H22" s="95"/>
      <c r="I22" s="32" t="s">
        <v>591</v>
      </c>
      <c r="J22" s="96" t="s">
        <v>588</v>
      </c>
      <c r="K22" s="97"/>
      <c r="L22" s="98"/>
      <c r="M22" s="98"/>
      <c r="N22" s="99"/>
      <c r="O22" s="95"/>
      <c r="P22" s="95"/>
      <c r="Q22" s="95"/>
      <c r="R22" s="63">
        <f t="shared" si="0"/>
        <v>0</v>
      </c>
      <c r="S22" s="95"/>
      <c r="T22" s="95"/>
      <c r="U22" s="95"/>
      <c r="V22" s="95"/>
      <c r="W22" s="100"/>
      <c r="X22" s="95"/>
      <c r="Y22" s="63">
        <f t="shared" si="1"/>
        <v>0</v>
      </c>
      <c r="Z22" s="100"/>
      <c r="AA22" s="95"/>
      <c r="AB22" s="95"/>
      <c r="AC22" s="95"/>
      <c r="AD22" s="96"/>
      <c r="AE22" s="97"/>
      <c r="AF22" s="101"/>
    </row>
    <row r="23" spans="1:32" x14ac:dyDescent="0.25">
      <c r="A23" s="32" t="s">
        <v>325</v>
      </c>
      <c r="B23" s="32">
        <v>8</v>
      </c>
      <c r="C23" s="32" t="s">
        <v>391</v>
      </c>
      <c r="D23" s="32" t="s">
        <v>392</v>
      </c>
      <c r="E23" s="95"/>
      <c r="F23" s="95"/>
      <c r="G23" s="95"/>
      <c r="H23" s="95"/>
      <c r="I23" s="32" t="s">
        <v>595</v>
      </c>
      <c r="J23" s="96" t="s">
        <v>588</v>
      </c>
      <c r="K23" s="97"/>
      <c r="L23" s="98"/>
      <c r="M23" s="98"/>
      <c r="N23" s="99"/>
      <c r="O23" s="95"/>
      <c r="P23" s="95"/>
      <c r="Q23" s="95"/>
      <c r="R23" s="63">
        <f t="shared" si="0"/>
        <v>0</v>
      </c>
      <c r="S23" s="95"/>
      <c r="T23" s="95"/>
      <c r="U23" s="95"/>
      <c r="V23" s="95"/>
      <c r="W23" s="100"/>
      <c r="X23" s="95"/>
      <c r="Y23" s="63">
        <f t="shared" si="1"/>
        <v>0</v>
      </c>
      <c r="Z23" s="100"/>
      <c r="AA23" s="95"/>
      <c r="AB23" s="95"/>
      <c r="AC23" s="95"/>
      <c r="AD23" s="96"/>
      <c r="AE23" s="97"/>
      <c r="AF23" s="101"/>
    </row>
    <row r="24" spans="1:32" x14ac:dyDescent="0.25">
      <c r="A24" s="32" t="s">
        <v>326</v>
      </c>
      <c r="B24" s="32">
        <v>8</v>
      </c>
      <c r="C24" s="32" t="s">
        <v>393</v>
      </c>
      <c r="D24" s="32" t="s">
        <v>391</v>
      </c>
      <c r="E24" s="95"/>
      <c r="F24" s="95"/>
      <c r="G24" s="95"/>
      <c r="H24" s="95"/>
      <c r="I24" s="32" t="s">
        <v>595</v>
      </c>
      <c r="J24" s="96" t="s">
        <v>588</v>
      </c>
      <c r="K24" s="97"/>
      <c r="L24" s="98"/>
      <c r="M24" s="98"/>
      <c r="N24" s="99"/>
      <c r="O24" s="95"/>
      <c r="P24" s="95"/>
      <c r="Q24" s="95"/>
      <c r="R24" s="63">
        <f t="shared" si="0"/>
        <v>0</v>
      </c>
      <c r="S24" s="95"/>
      <c r="T24" s="95"/>
      <c r="U24" s="95"/>
      <c r="V24" s="95"/>
      <c r="W24" s="100"/>
      <c r="X24" s="95"/>
      <c r="Y24" s="63">
        <f t="shared" si="1"/>
        <v>0</v>
      </c>
      <c r="Z24" s="100"/>
      <c r="AA24" s="95"/>
      <c r="AB24" s="95"/>
      <c r="AC24" s="95"/>
      <c r="AD24" s="96"/>
      <c r="AE24" s="97"/>
      <c r="AF24" s="101"/>
    </row>
    <row r="25" spans="1:32" x14ac:dyDescent="0.25">
      <c r="A25" s="32" t="s">
        <v>327</v>
      </c>
      <c r="B25" s="32">
        <v>8</v>
      </c>
      <c r="C25" s="32" t="s">
        <v>394</v>
      </c>
      <c r="D25" s="32" t="s">
        <v>393</v>
      </c>
      <c r="E25" s="95"/>
      <c r="F25" s="95"/>
      <c r="G25" s="95"/>
      <c r="H25" s="95"/>
      <c r="I25" s="32" t="s">
        <v>594</v>
      </c>
      <c r="J25" s="96" t="s">
        <v>588</v>
      </c>
      <c r="K25" s="97"/>
      <c r="L25" s="98"/>
      <c r="M25" s="98"/>
      <c r="N25" s="99"/>
      <c r="O25" s="95"/>
      <c r="P25" s="95"/>
      <c r="Q25" s="95"/>
      <c r="R25" s="63">
        <f t="shared" si="0"/>
        <v>0</v>
      </c>
      <c r="S25" s="95"/>
      <c r="T25" s="95"/>
      <c r="U25" s="95"/>
      <c r="V25" s="95"/>
      <c r="W25" s="100"/>
      <c r="X25" s="95"/>
      <c r="Y25" s="63">
        <f t="shared" si="1"/>
        <v>0</v>
      </c>
      <c r="Z25" s="100"/>
      <c r="AA25" s="95"/>
      <c r="AB25" s="95"/>
      <c r="AC25" s="95"/>
      <c r="AD25" s="96"/>
      <c r="AE25" s="97"/>
      <c r="AF25" s="101"/>
    </row>
    <row r="26" spans="1:32" x14ac:dyDescent="0.25">
      <c r="A26" s="32" t="s">
        <v>328</v>
      </c>
      <c r="B26" s="32">
        <v>8</v>
      </c>
      <c r="C26" s="32" t="s">
        <v>395</v>
      </c>
      <c r="D26" s="32" t="s">
        <v>393</v>
      </c>
      <c r="E26" s="95"/>
      <c r="F26" s="95"/>
      <c r="G26" s="95"/>
      <c r="H26" s="95"/>
      <c r="I26" s="32" t="s">
        <v>595</v>
      </c>
      <c r="J26" s="96" t="s">
        <v>588</v>
      </c>
      <c r="K26" s="97"/>
      <c r="L26" s="98"/>
      <c r="M26" s="98"/>
      <c r="N26" s="99"/>
      <c r="O26" s="95"/>
      <c r="P26" s="95"/>
      <c r="Q26" s="95"/>
      <c r="R26" s="63">
        <f t="shared" si="0"/>
        <v>0</v>
      </c>
      <c r="S26" s="95"/>
      <c r="T26" s="95"/>
      <c r="U26" s="95"/>
      <c r="V26" s="95"/>
      <c r="W26" s="100"/>
      <c r="X26" s="95"/>
      <c r="Y26" s="63">
        <f t="shared" si="1"/>
        <v>0</v>
      </c>
      <c r="Z26" s="100"/>
      <c r="AA26" s="95"/>
      <c r="AB26" s="95"/>
      <c r="AC26" s="95"/>
      <c r="AD26" s="96"/>
      <c r="AE26" s="97"/>
      <c r="AF26" s="101"/>
    </row>
    <row r="27" spans="1:32" x14ac:dyDescent="0.25">
      <c r="A27" s="32" t="s">
        <v>329</v>
      </c>
      <c r="B27" s="32">
        <v>8</v>
      </c>
      <c r="C27" s="32" t="s">
        <v>396</v>
      </c>
      <c r="D27" s="32" t="s">
        <v>392</v>
      </c>
      <c r="E27" s="95"/>
      <c r="F27" s="95"/>
      <c r="G27" s="95"/>
      <c r="H27" s="95"/>
      <c r="I27" s="32" t="s">
        <v>602</v>
      </c>
      <c r="J27" s="96" t="s">
        <v>598</v>
      </c>
      <c r="K27" s="97"/>
      <c r="L27" s="98"/>
      <c r="M27" s="98"/>
      <c r="N27" s="99"/>
      <c r="O27" s="95"/>
      <c r="P27" s="95"/>
      <c r="Q27" s="95"/>
      <c r="R27" s="63">
        <f t="shared" si="0"/>
        <v>0</v>
      </c>
      <c r="S27" s="95"/>
      <c r="T27" s="95"/>
      <c r="U27" s="95"/>
      <c r="V27" s="95"/>
      <c r="W27" s="100"/>
      <c r="X27" s="95"/>
      <c r="Y27" s="63">
        <f t="shared" si="1"/>
        <v>0</v>
      </c>
      <c r="Z27" s="100"/>
      <c r="AA27" s="95"/>
      <c r="AB27" s="95"/>
      <c r="AC27" s="95"/>
      <c r="AD27" s="96"/>
      <c r="AE27" s="97"/>
      <c r="AF27" s="101"/>
    </row>
    <row r="28" spans="1:32" x14ac:dyDescent="0.25">
      <c r="A28" s="32" t="s">
        <v>330</v>
      </c>
      <c r="B28" s="32">
        <v>8</v>
      </c>
      <c r="C28" s="32" t="s">
        <v>392</v>
      </c>
      <c r="D28" s="32" t="s">
        <v>397</v>
      </c>
      <c r="E28" s="95"/>
      <c r="F28" s="95"/>
      <c r="G28" s="95"/>
      <c r="H28" s="95"/>
      <c r="I28" s="32" t="s">
        <v>602</v>
      </c>
      <c r="J28" s="96" t="s">
        <v>598</v>
      </c>
      <c r="K28" s="97"/>
      <c r="L28" s="98"/>
      <c r="M28" s="98"/>
      <c r="N28" s="99"/>
      <c r="O28" s="95"/>
      <c r="P28" s="95"/>
      <c r="Q28" s="95"/>
      <c r="R28" s="63">
        <f t="shared" si="0"/>
        <v>0</v>
      </c>
      <c r="S28" s="95"/>
      <c r="T28" s="95"/>
      <c r="U28" s="95"/>
      <c r="V28" s="95"/>
      <c r="W28" s="100"/>
      <c r="X28" s="95"/>
      <c r="Y28" s="63">
        <f t="shared" si="1"/>
        <v>0</v>
      </c>
      <c r="Z28" s="100"/>
      <c r="AA28" s="95"/>
      <c r="AB28" s="95"/>
      <c r="AC28" s="95"/>
      <c r="AD28" s="96"/>
      <c r="AE28" s="97"/>
      <c r="AF28" s="101"/>
    </row>
    <row r="29" spans="1:32" x14ac:dyDescent="0.25">
      <c r="A29" s="32" t="s">
        <v>331</v>
      </c>
      <c r="B29" s="32">
        <v>8</v>
      </c>
      <c r="C29" s="32" t="s">
        <v>397</v>
      </c>
      <c r="D29" s="32" t="s">
        <v>398</v>
      </c>
      <c r="E29" s="95"/>
      <c r="F29" s="95"/>
      <c r="G29" s="95"/>
      <c r="H29" s="95"/>
      <c r="I29" s="32" t="s">
        <v>594</v>
      </c>
      <c r="J29" s="96" t="s">
        <v>588</v>
      </c>
      <c r="K29" s="97"/>
      <c r="L29" s="98"/>
      <c r="M29" s="98"/>
      <c r="N29" s="99"/>
      <c r="O29" s="95"/>
      <c r="P29" s="95"/>
      <c r="Q29" s="95"/>
      <c r="R29" s="63">
        <f t="shared" si="0"/>
        <v>0</v>
      </c>
      <c r="S29" s="95"/>
      <c r="T29" s="95"/>
      <c r="U29" s="95"/>
      <c r="V29" s="95"/>
      <c r="W29" s="100"/>
      <c r="X29" s="95"/>
      <c r="Y29" s="63">
        <f t="shared" si="1"/>
        <v>0</v>
      </c>
      <c r="Z29" s="100"/>
      <c r="AA29" s="95"/>
      <c r="AB29" s="95"/>
      <c r="AC29" s="95"/>
      <c r="AD29" s="96"/>
      <c r="AE29" s="97"/>
      <c r="AF29" s="101"/>
    </row>
    <row r="30" spans="1:32" x14ac:dyDescent="0.25">
      <c r="A30" s="32" t="s">
        <v>332</v>
      </c>
      <c r="B30" s="32">
        <v>8</v>
      </c>
      <c r="C30" s="32" t="s">
        <v>399</v>
      </c>
      <c r="D30" s="32" t="s">
        <v>386</v>
      </c>
      <c r="E30" s="95"/>
      <c r="F30" s="95"/>
      <c r="G30" s="95"/>
      <c r="H30" s="95"/>
      <c r="I30" s="32" t="s">
        <v>602</v>
      </c>
      <c r="J30" s="96" t="s">
        <v>598</v>
      </c>
      <c r="K30" s="97"/>
      <c r="L30" s="98"/>
      <c r="M30" s="98"/>
      <c r="N30" s="99"/>
      <c r="O30" s="95"/>
      <c r="P30" s="95"/>
      <c r="Q30" s="95"/>
      <c r="R30" s="63">
        <f t="shared" si="0"/>
        <v>0</v>
      </c>
      <c r="S30" s="95"/>
      <c r="T30" s="95"/>
      <c r="U30" s="95"/>
      <c r="V30" s="95"/>
      <c r="W30" s="100"/>
      <c r="X30" s="95"/>
      <c r="Y30" s="63">
        <f t="shared" si="1"/>
        <v>0</v>
      </c>
      <c r="Z30" s="100"/>
      <c r="AA30" s="95"/>
      <c r="AB30" s="95"/>
      <c r="AC30" s="95"/>
      <c r="AD30" s="96"/>
      <c r="AE30" s="97"/>
      <c r="AF30" s="101"/>
    </row>
    <row r="31" spans="1:32" x14ac:dyDescent="0.25">
      <c r="A31" s="32" t="s">
        <v>333</v>
      </c>
      <c r="B31" s="32">
        <v>8</v>
      </c>
      <c r="C31" s="32" t="s">
        <v>400</v>
      </c>
      <c r="D31" s="32" t="s">
        <v>397</v>
      </c>
      <c r="E31" s="95"/>
      <c r="F31" s="95"/>
      <c r="G31" s="95"/>
      <c r="H31" s="95"/>
      <c r="I31" s="32" t="s">
        <v>594</v>
      </c>
      <c r="J31" s="96" t="s">
        <v>588</v>
      </c>
      <c r="K31" s="97"/>
      <c r="L31" s="98"/>
      <c r="M31" s="98"/>
      <c r="N31" s="99"/>
      <c r="O31" s="95"/>
      <c r="P31" s="95"/>
      <c r="Q31" s="95"/>
      <c r="R31" s="63">
        <f t="shared" si="0"/>
        <v>0</v>
      </c>
      <c r="S31" s="95"/>
      <c r="T31" s="95"/>
      <c r="U31" s="95"/>
      <c r="V31" s="95"/>
      <c r="W31" s="100"/>
      <c r="X31" s="95"/>
      <c r="Y31" s="63">
        <f t="shared" si="1"/>
        <v>0</v>
      </c>
      <c r="Z31" s="100"/>
      <c r="AA31" s="95"/>
      <c r="AB31" s="95"/>
      <c r="AC31" s="95"/>
      <c r="AD31" s="96"/>
      <c r="AE31" s="97"/>
      <c r="AF31" s="101"/>
    </row>
    <row r="32" spans="1:32" x14ac:dyDescent="0.25">
      <c r="A32" s="32" t="s">
        <v>334</v>
      </c>
      <c r="B32" s="32">
        <v>8</v>
      </c>
      <c r="C32" s="32" t="s">
        <v>401</v>
      </c>
      <c r="D32" s="32" t="s">
        <v>399</v>
      </c>
      <c r="E32" s="95"/>
      <c r="F32" s="95"/>
      <c r="G32" s="95"/>
      <c r="H32" s="95"/>
      <c r="I32" s="32" t="s">
        <v>602</v>
      </c>
      <c r="J32" s="96" t="s">
        <v>600</v>
      </c>
      <c r="K32" s="97"/>
      <c r="L32" s="98"/>
      <c r="M32" s="98"/>
      <c r="N32" s="99"/>
      <c r="O32" s="95"/>
      <c r="P32" s="95"/>
      <c r="Q32" s="95"/>
      <c r="R32" s="63">
        <f t="shared" si="0"/>
        <v>0</v>
      </c>
      <c r="S32" s="95"/>
      <c r="T32" s="95"/>
      <c r="U32" s="95"/>
      <c r="V32" s="95"/>
      <c r="W32" s="100"/>
      <c r="X32" s="95"/>
      <c r="Y32" s="63">
        <f t="shared" si="1"/>
        <v>0</v>
      </c>
      <c r="Z32" s="100"/>
      <c r="AA32" s="95"/>
      <c r="AB32" s="95"/>
      <c r="AC32" s="95"/>
      <c r="AD32" s="96"/>
      <c r="AE32" s="97"/>
      <c r="AF32" s="101"/>
    </row>
    <row r="33" spans="1:32" x14ac:dyDescent="0.25">
      <c r="A33" s="32" t="s">
        <v>335</v>
      </c>
      <c r="B33" s="32">
        <v>8</v>
      </c>
      <c r="C33" s="32" t="s">
        <v>402</v>
      </c>
      <c r="D33" s="32" t="s">
        <v>403</v>
      </c>
      <c r="E33" s="95"/>
      <c r="F33" s="95"/>
      <c r="G33" s="95"/>
      <c r="H33" s="95"/>
      <c r="I33" s="32" t="s">
        <v>590</v>
      </c>
      <c r="J33" s="96" t="s">
        <v>588</v>
      </c>
      <c r="K33" s="97"/>
      <c r="L33" s="98"/>
      <c r="M33" s="98"/>
      <c r="N33" s="99"/>
      <c r="O33" s="95"/>
      <c r="P33" s="95"/>
      <c r="Q33" s="95"/>
      <c r="R33" s="63">
        <f t="shared" si="0"/>
        <v>0</v>
      </c>
      <c r="S33" s="95"/>
      <c r="T33" s="95"/>
      <c r="U33" s="95"/>
      <c r="V33" s="95"/>
      <c r="W33" s="100"/>
      <c r="X33" s="95"/>
      <c r="Y33" s="63">
        <f t="shared" si="1"/>
        <v>0</v>
      </c>
      <c r="Z33" s="100"/>
      <c r="AA33" s="95"/>
      <c r="AB33" s="95"/>
      <c r="AC33" s="95"/>
      <c r="AD33" s="96"/>
      <c r="AE33" s="97"/>
      <c r="AF33" s="101"/>
    </row>
    <row r="34" spans="1:32" x14ac:dyDescent="0.25">
      <c r="A34" s="32" t="s">
        <v>336</v>
      </c>
      <c r="B34" s="32">
        <v>8</v>
      </c>
      <c r="C34" s="32" t="s">
        <v>404</v>
      </c>
      <c r="D34" s="32" t="s">
        <v>405</v>
      </c>
      <c r="E34" s="95"/>
      <c r="F34" s="95"/>
      <c r="G34" s="95"/>
      <c r="H34" s="95"/>
      <c r="I34" s="32" t="s">
        <v>590</v>
      </c>
      <c r="J34" s="96" t="s">
        <v>588</v>
      </c>
      <c r="K34" s="97"/>
      <c r="L34" s="98"/>
      <c r="M34" s="98"/>
      <c r="N34" s="99"/>
      <c r="O34" s="95"/>
      <c r="P34" s="95"/>
      <c r="Q34" s="95"/>
      <c r="R34" s="63">
        <f t="shared" si="0"/>
        <v>0</v>
      </c>
      <c r="S34" s="95"/>
      <c r="T34" s="95"/>
      <c r="U34" s="95"/>
      <c r="V34" s="95"/>
      <c r="W34" s="100"/>
      <c r="X34" s="95"/>
      <c r="Y34" s="63">
        <f t="shared" si="1"/>
        <v>0</v>
      </c>
      <c r="Z34" s="100"/>
      <c r="AA34" s="95"/>
      <c r="AB34" s="95"/>
      <c r="AC34" s="95"/>
      <c r="AD34" s="96"/>
      <c r="AE34" s="97"/>
      <c r="AF34" s="101"/>
    </row>
    <row r="35" spans="1:32" x14ac:dyDescent="0.25">
      <c r="A35" s="32" t="s">
        <v>337</v>
      </c>
      <c r="B35" s="32">
        <v>8</v>
      </c>
      <c r="C35" s="32" t="s">
        <v>384</v>
      </c>
      <c r="D35" s="32" t="s">
        <v>406</v>
      </c>
      <c r="E35" s="95"/>
      <c r="F35" s="95"/>
      <c r="G35" s="95"/>
      <c r="H35" s="95"/>
      <c r="I35" s="32" t="s">
        <v>590</v>
      </c>
      <c r="J35" s="96" t="s">
        <v>588</v>
      </c>
      <c r="K35" s="97"/>
      <c r="L35" s="98"/>
      <c r="M35" s="98"/>
      <c r="N35" s="99"/>
      <c r="O35" s="95"/>
      <c r="P35" s="95"/>
      <c r="Q35" s="95"/>
      <c r="R35" s="63">
        <f t="shared" si="0"/>
        <v>0</v>
      </c>
      <c r="S35" s="95"/>
      <c r="T35" s="95"/>
      <c r="U35" s="95"/>
      <c r="V35" s="95"/>
      <c r="W35" s="100"/>
      <c r="X35" s="95"/>
      <c r="Y35" s="63">
        <f t="shared" si="1"/>
        <v>0</v>
      </c>
      <c r="Z35" s="100"/>
      <c r="AA35" s="95"/>
      <c r="AB35" s="95"/>
      <c r="AC35" s="95"/>
      <c r="AD35" s="96"/>
      <c r="AE35" s="97"/>
      <c r="AF35" s="101"/>
    </row>
    <row r="36" spans="1:32" x14ac:dyDescent="0.25">
      <c r="A36" s="32" t="s">
        <v>338</v>
      </c>
      <c r="B36" s="32">
        <v>8</v>
      </c>
      <c r="C36" s="32" t="s">
        <v>407</v>
      </c>
      <c r="D36" s="32" t="s">
        <v>408</v>
      </c>
      <c r="E36" s="95"/>
      <c r="F36" s="95"/>
      <c r="G36" s="95"/>
      <c r="H36" s="95"/>
      <c r="I36" s="32" t="s">
        <v>590</v>
      </c>
      <c r="J36" s="96" t="s">
        <v>588</v>
      </c>
      <c r="K36" s="97"/>
      <c r="L36" s="98"/>
      <c r="M36" s="98"/>
      <c r="N36" s="99"/>
      <c r="O36" s="95"/>
      <c r="P36" s="95"/>
      <c r="Q36" s="95"/>
      <c r="R36" s="63">
        <f t="shared" si="0"/>
        <v>0</v>
      </c>
      <c r="S36" s="95"/>
      <c r="T36" s="95"/>
      <c r="U36" s="95"/>
      <c r="V36" s="95"/>
      <c r="W36" s="100"/>
      <c r="X36" s="95"/>
      <c r="Y36" s="63">
        <f t="shared" si="1"/>
        <v>0</v>
      </c>
      <c r="Z36" s="100"/>
      <c r="AA36" s="95"/>
      <c r="AB36" s="95"/>
      <c r="AC36" s="95"/>
      <c r="AD36" s="96"/>
      <c r="AE36" s="97"/>
      <c r="AF36" s="101"/>
    </row>
    <row r="37" spans="1:32" x14ac:dyDescent="0.25">
      <c r="A37" s="32" t="s">
        <v>339</v>
      </c>
      <c r="B37" s="32">
        <v>8</v>
      </c>
      <c r="C37" s="32" t="s">
        <v>409</v>
      </c>
      <c r="D37" s="32" t="s">
        <v>410</v>
      </c>
      <c r="E37" s="95"/>
      <c r="F37" s="95"/>
      <c r="G37" s="95"/>
      <c r="H37" s="95"/>
      <c r="I37" s="32" t="s">
        <v>590</v>
      </c>
      <c r="J37" s="96" t="s">
        <v>588</v>
      </c>
      <c r="K37" s="97"/>
      <c r="L37" s="98"/>
      <c r="M37" s="98"/>
      <c r="N37" s="99"/>
      <c r="O37" s="95"/>
      <c r="P37" s="95"/>
      <c r="Q37" s="95"/>
      <c r="R37" s="63">
        <f t="shared" si="0"/>
        <v>0</v>
      </c>
      <c r="S37" s="95"/>
      <c r="T37" s="95"/>
      <c r="U37" s="95"/>
      <c r="V37" s="95"/>
      <c r="W37" s="100"/>
      <c r="X37" s="95"/>
      <c r="Y37" s="63">
        <f t="shared" si="1"/>
        <v>0</v>
      </c>
      <c r="Z37" s="100"/>
      <c r="AA37" s="95"/>
      <c r="AB37" s="95"/>
      <c r="AC37" s="95"/>
      <c r="AD37" s="96"/>
      <c r="AE37" s="97"/>
      <c r="AF37" s="101"/>
    </row>
    <row r="38" spans="1:32" x14ac:dyDescent="0.25">
      <c r="A38" s="32" t="s">
        <v>340</v>
      </c>
      <c r="B38" s="32">
        <v>8</v>
      </c>
      <c r="C38" s="32" t="s">
        <v>410</v>
      </c>
      <c r="D38" s="32" t="s">
        <v>411</v>
      </c>
      <c r="E38" s="95"/>
      <c r="F38" s="95"/>
      <c r="G38" s="95"/>
      <c r="H38" s="95"/>
      <c r="I38" s="32" t="s">
        <v>590</v>
      </c>
      <c r="J38" s="96" t="s">
        <v>588</v>
      </c>
      <c r="K38" s="97"/>
      <c r="L38" s="98"/>
      <c r="M38" s="98"/>
      <c r="N38" s="99"/>
      <c r="O38" s="95"/>
      <c r="P38" s="95"/>
      <c r="Q38" s="95"/>
      <c r="R38" s="63">
        <f t="shared" si="0"/>
        <v>0</v>
      </c>
      <c r="S38" s="95"/>
      <c r="T38" s="95"/>
      <c r="U38" s="95"/>
      <c r="V38" s="95"/>
      <c r="W38" s="100"/>
      <c r="X38" s="95"/>
      <c r="Y38" s="63">
        <f t="shared" si="1"/>
        <v>0</v>
      </c>
      <c r="Z38" s="100"/>
      <c r="AA38" s="95"/>
      <c r="AB38" s="95"/>
      <c r="AC38" s="95"/>
      <c r="AD38" s="96"/>
      <c r="AE38" s="97"/>
      <c r="AF38" s="101"/>
    </row>
    <row r="39" spans="1:32" x14ac:dyDescent="0.25">
      <c r="A39" s="32" t="s">
        <v>341</v>
      </c>
      <c r="B39" s="32">
        <v>8</v>
      </c>
      <c r="C39" s="32" t="s">
        <v>411</v>
      </c>
      <c r="D39" s="32" t="s">
        <v>412</v>
      </c>
      <c r="E39" s="95"/>
      <c r="F39" s="95"/>
      <c r="G39" s="95"/>
      <c r="H39" s="95"/>
      <c r="I39" s="32" t="s">
        <v>590</v>
      </c>
      <c r="J39" s="96" t="s">
        <v>588</v>
      </c>
      <c r="K39" s="97"/>
      <c r="L39" s="98"/>
      <c r="M39" s="98"/>
      <c r="N39" s="99"/>
      <c r="O39" s="95"/>
      <c r="P39" s="95"/>
      <c r="Q39" s="95"/>
      <c r="R39" s="63">
        <f t="shared" si="0"/>
        <v>0</v>
      </c>
      <c r="S39" s="95"/>
      <c r="T39" s="95"/>
      <c r="U39" s="95"/>
      <c r="V39" s="95"/>
      <c r="W39" s="100"/>
      <c r="X39" s="95"/>
      <c r="Y39" s="63">
        <f t="shared" si="1"/>
        <v>0</v>
      </c>
      <c r="Z39" s="100"/>
      <c r="AA39" s="95"/>
      <c r="AB39" s="95"/>
      <c r="AC39" s="95"/>
      <c r="AD39" s="96"/>
      <c r="AE39" s="97"/>
      <c r="AF39" s="101"/>
    </row>
    <row r="40" spans="1:32" x14ac:dyDescent="0.25">
      <c r="A40" s="32" t="s">
        <v>342</v>
      </c>
      <c r="B40" s="32">
        <v>8</v>
      </c>
      <c r="C40" s="32" t="s">
        <v>413</v>
      </c>
      <c r="D40" s="32" t="s">
        <v>414</v>
      </c>
      <c r="E40" s="95"/>
      <c r="F40" s="95"/>
      <c r="G40" s="95"/>
      <c r="H40" s="95"/>
      <c r="I40" s="32" t="s">
        <v>595</v>
      </c>
      <c r="J40" s="96" t="s">
        <v>588</v>
      </c>
      <c r="K40" s="97"/>
      <c r="L40" s="98"/>
      <c r="M40" s="98"/>
      <c r="N40" s="99"/>
      <c r="O40" s="95"/>
      <c r="P40" s="95"/>
      <c r="Q40" s="95"/>
      <c r="R40" s="63">
        <f t="shared" si="0"/>
        <v>0</v>
      </c>
      <c r="S40" s="95"/>
      <c r="T40" s="95"/>
      <c r="U40" s="95"/>
      <c r="V40" s="95"/>
      <c r="W40" s="100"/>
      <c r="X40" s="95"/>
      <c r="Y40" s="63">
        <f t="shared" si="1"/>
        <v>0</v>
      </c>
      <c r="Z40" s="100"/>
      <c r="AA40" s="95"/>
      <c r="AB40" s="95"/>
      <c r="AC40" s="95"/>
      <c r="AD40" s="96"/>
      <c r="AE40" s="97"/>
      <c r="AF40" s="101"/>
    </row>
    <row r="41" spans="1:32" x14ac:dyDescent="0.25">
      <c r="A41" s="32" t="s">
        <v>343</v>
      </c>
      <c r="B41" s="32">
        <v>8</v>
      </c>
      <c r="C41" s="32" t="s">
        <v>415</v>
      </c>
      <c r="D41" s="32" t="s">
        <v>413</v>
      </c>
      <c r="E41" s="95"/>
      <c r="F41" s="95"/>
      <c r="G41" s="95"/>
      <c r="H41" s="95"/>
      <c r="I41" s="32" t="s">
        <v>597</v>
      </c>
      <c r="J41" s="96" t="s">
        <v>588</v>
      </c>
      <c r="K41" s="97"/>
      <c r="L41" s="98"/>
      <c r="M41" s="98"/>
      <c r="N41" s="99"/>
      <c r="O41" s="95"/>
      <c r="P41" s="95"/>
      <c r="Q41" s="95"/>
      <c r="R41" s="63">
        <f t="shared" si="0"/>
        <v>0</v>
      </c>
      <c r="S41" s="95"/>
      <c r="T41" s="95"/>
      <c r="U41" s="95"/>
      <c r="V41" s="95"/>
      <c r="W41" s="100"/>
      <c r="X41" s="95"/>
      <c r="Y41" s="63">
        <f t="shared" si="1"/>
        <v>0</v>
      </c>
      <c r="Z41" s="100"/>
      <c r="AA41" s="95"/>
      <c r="AB41" s="95"/>
      <c r="AC41" s="95"/>
      <c r="AD41" s="96"/>
      <c r="AE41" s="97"/>
      <c r="AF41" s="101"/>
    </row>
    <row r="42" spans="1:32" x14ac:dyDescent="0.25">
      <c r="A42" s="32" t="s">
        <v>344</v>
      </c>
      <c r="B42" s="32">
        <v>8</v>
      </c>
      <c r="C42" s="32" t="s">
        <v>416</v>
      </c>
      <c r="D42" s="32" t="s">
        <v>417</v>
      </c>
      <c r="E42" s="95"/>
      <c r="F42" s="95"/>
      <c r="G42" s="95"/>
      <c r="H42" s="95"/>
      <c r="I42" s="32" t="s">
        <v>594</v>
      </c>
      <c r="J42" s="96" t="s">
        <v>588</v>
      </c>
      <c r="K42" s="97"/>
      <c r="L42" s="98"/>
      <c r="M42" s="98"/>
      <c r="N42" s="99"/>
      <c r="O42" s="95"/>
      <c r="P42" s="95"/>
      <c r="Q42" s="95"/>
      <c r="R42" s="63">
        <f t="shared" si="0"/>
        <v>0</v>
      </c>
      <c r="S42" s="95"/>
      <c r="T42" s="95"/>
      <c r="U42" s="95"/>
      <c r="V42" s="95"/>
      <c r="W42" s="100"/>
      <c r="X42" s="95"/>
      <c r="Y42" s="63">
        <f t="shared" si="1"/>
        <v>0</v>
      </c>
      <c r="Z42" s="100"/>
      <c r="AA42" s="95"/>
      <c r="AB42" s="95"/>
      <c r="AC42" s="95"/>
      <c r="AD42" s="96"/>
      <c r="AE42" s="97"/>
      <c r="AF42" s="101"/>
    </row>
    <row r="43" spans="1:32" x14ac:dyDescent="0.25">
      <c r="A43" s="32" t="s">
        <v>345</v>
      </c>
      <c r="B43" s="32">
        <v>8</v>
      </c>
      <c r="C43" s="32" t="s">
        <v>418</v>
      </c>
      <c r="D43" s="32" t="s">
        <v>416</v>
      </c>
      <c r="E43" s="95"/>
      <c r="F43" s="95"/>
      <c r="G43" s="95"/>
      <c r="H43" s="95"/>
      <c r="I43" s="32" t="s">
        <v>594</v>
      </c>
      <c r="J43" s="96" t="s">
        <v>588</v>
      </c>
      <c r="K43" s="97"/>
      <c r="L43" s="98"/>
      <c r="M43" s="98"/>
      <c r="N43" s="99"/>
      <c r="O43" s="95"/>
      <c r="P43" s="95"/>
      <c r="Q43" s="95"/>
      <c r="R43" s="63">
        <f t="shared" si="0"/>
        <v>0</v>
      </c>
      <c r="S43" s="95"/>
      <c r="T43" s="95"/>
      <c r="U43" s="95"/>
      <c r="V43" s="95"/>
      <c r="W43" s="100"/>
      <c r="X43" s="95"/>
      <c r="Y43" s="63">
        <f t="shared" si="1"/>
        <v>0</v>
      </c>
      <c r="Z43" s="100"/>
      <c r="AA43" s="95"/>
      <c r="AB43" s="95"/>
      <c r="AC43" s="95"/>
      <c r="AD43" s="96"/>
      <c r="AE43" s="97"/>
      <c r="AF43" s="101"/>
    </row>
    <row r="44" spans="1:32" x14ac:dyDescent="0.25">
      <c r="A44" s="32" t="s">
        <v>346</v>
      </c>
      <c r="B44" s="32">
        <v>8</v>
      </c>
      <c r="C44" s="32" t="s">
        <v>419</v>
      </c>
      <c r="D44" s="32" t="s">
        <v>420</v>
      </c>
      <c r="E44" s="95"/>
      <c r="F44" s="95"/>
      <c r="G44" s="95"/>
      <c r="H44" s="95"/>
      <c r="I44" s="32" t="s">
        <v>595</v>
      </c>
      <c r="J44" s="96" t="s">
        <v>588</v>
      </c>
      <c r="K44" s="97"/>
      <c r="L44" s="98"/>
      <c r="M44" s="98"/>
      <c r="N44" s="99"/>
      <c r="O44" s="95"/>
      <c r="P44" s="95"/>
      <c r="Q44" s="95"/>
      <c r="R44" s="63">
        <f t="shared" si="0"/>
        <v>0</v>
      </c>
      <c r="S44" s="95"/>
      <c r="T44" s="95"/>
      <c r="U44" s="95"/>
      <c r="V44" s="95"/>
      <c r="W44" s="100"/>
      <c r="X44" s="95"/>
      <c r="Y44" s="63">
        <f t="shared" si="1"/>
        <v>0</v>
      </c>
      <c r="Z44" s="100"/>
      <c r="AA44" s="95"/>
      <c r="AB44" s="95"/>
      <c r="AC44" s="95"/>
      <c r="AD44" s="96"/>
      <c r="AE44" s="97"/>
      <c r="AF44" s="101"/>
    </row>
    <row r="45" spans="1:32" x14ac:dyDescent="0.25">
      <c r="A45" s="32" t="s">
        <v>347</v>
      </c>
      <c r="B45" s="32">
        <v>8</v>
      </c>
      <c r="C45" s="32" t="s">
        <v>421</v>
      </c>
      <c r="D45" s="32" t="s">
        <v>422</v>
      </c>
      <c r="E45" s="95"/>
      <c r="F45" s="95"/>
      <c r="G45" s="95"/>
      <c r="H45" s="95"/>
      <c r="I45" s="32" t="s">
        <v>601</v>
      </c>
      <c r="J45" s="96" t="s">
        <v>600</v>
      </c>
      <c r="K45" s="97"/>
      <c r="L45" s="98"/>
      <c r="M45" s="98"/>
      <c r="N45" s="99"/>
      <c r="O45" s="95"/>
      <c r="P45" s="95"/>
      <c r="Q45" s="95"/>
      <c r="R45" s="63">
        <f t="shared" si="0"/>
        <v>0</v>
      </c>
      <c r="S45" s="95"/>
      <c r="T45" s="95"/>
      <c r="U45" s="95"/>
      <c r="V45" s="95"/>
      <c r="W45" s="100"/>
      <c r="X45" s="95"/>
      <c r="Y45" s="63">
        <f t="shared" si="1"/>
        <v>0</v>
      </c>
      <c r="Z45" s="100"/>
      <c r="AA45" s="95"/>
      <c r="AB45" s="95"/>
      <c r="AC45" s="95"/>
      <c r="AD45" s="96"/>
      <c r="AE45" s="97"/>
      <c r="AF45" s="101"/>
    </row>
    <row r="46" spans="1:32" x14ac:dyDescent="0.25">
      <c r="A46" s="32" t="s">
        <v>348</v>
      </c>
      <c r="B46" s="32">
        <v>8</v>
      </c>
      <c r="C46" s="32" t="s">
        <v>423</v>
      </c>
      <c r="D46" s="32" t="s">
        <v>421</v>
      </c>
      <c r="E46" s="95"/>
      <c r="F46" s="95"/>
      <c r="G46" s="95"/>
      <c r="H46" s="95"/>
      <c r="I46" s="32" t="s">
        <v>601</v>
      </c>
      <c r="J46" s="96" t="s">
        <v>600</v>
      </c>
      <c r="K46" s="97"/>
      <c r="L46" s="98"/>
      <c r="M46" s="98"/>
      <c r="N46" s="99"/>
      <c r="O46" s="95"/>
      <c r="P46" s="95"/>
      <c r="Q46" s="95"/>
      <c r="R46" s="63">
        <f t="shared" si="0"/>
        <v>0</v>
      </c>
      <c r="S46" s="95"/>
      <c r="T46" s="95"/>
      <c r="U46" s="95"/>
      <c r="V46" s="95"/>
      <c r="W46" s="100"/>
      <c r="X46" s="95"/>
      <c r="Y46" s="63">
        <f t="shared" si="1"/>
        <v>0</v>
      </c>
      <c r="Z46" s="100"/>
      <c r="AA46" s="95"/>
      <c r="AB46" s="95"/>
      <c r="AC46" s="95"/>
      <c r="AD46" s="96"/>
      <c r="AE46" s="97"/>
      <c r="AF46" s="101"/>
    </row>
    <row r="47" spans="1:32" x14ac:dyDescent="0.25">
      <c r="A47" s="32" t="s">
        <v>349</v>
      </c>
      <c r="B47" s="32">
        <v>8</v>
      </c>
      <c r="C47" s="32" t="s">
        <v>424</v>
      </c>
      <c r="D47" s="32" t="s">
        <v>423</v>
      </c>
      <c r="E47" s="95"/>
      <c r="F47" s="95"/>
      <c r="G47" s="95"/>
      <c r="H47" s="95"/>
      <c r="I47" s="32" t="s">
        <v>601</v>
      </c>
      <c r="J47" s="96" t="s">
        <v>600</v>
      </c>
      <c r="K47" s="97"/>
      <c r="L47" s="98"/>
      <c r="M47" s="98"/>
      <c r="N47" s="99"/>
      <c r="O47" s="95"/>
      <c r="P47" s="95"/>
      <c r="Q47" s="95"/>
      <c r="R47" s="63">
        <f t="shared" si="0"/>
        <v>0</v>
      </c>
      <c r="S47" s="95"/>
      <c r="T47" s="95"/>
      <c r="U47" s="95"/>
      <c r="V47" s="95"/>
      <c r="W47" s="100"/>
      <c r="X47" s="95"/>
      <c r="Y47" s="63">
        <f t="shared" si="1"/>
        <v>0</v>
      </c>
      <c r="Z47" s="100"/>
      <c r="AA47" s="95"/>
      <c r="AB47" s="95"/>
      <c r="AC47" s="95"/>
      <c r="AD47" s="96"/>
      <c r="AE47" s="97"/>
      <c r="AF47" s="101"/>
    </row>
    <row r="48" spans="1:32" x14ac:dyDescent="0.25">
      <c r="A48" s="32" t="s">
        <v>350</v>
      </c>
      <c r="B48" s="32">
        <v>8</v>
      </c>
      <c r="C48" s="32" t="s">
        <v>425</v>
      </c>
      <c r="D48" s="32" t="s">
        <v>424</v>
      </c>
      <c r="E48" s="95"/>
      <c r="F48" s="95"/>
      <c r="G48" s="95"/>
      <c r="H48" s="95"/>
      <c r="I48" s="32" t="s">
        <v>601</v>
      </c>
      <c r="J48" s="96" t="s">
        <v>600</v>
      </c>
      <c r="K48" s="97"/>
      <c r="L48" s="98"/>
      <c r="M48" s="98"/>
      <c r="N48" s="99"/>
      <c r="O48" s="95"/>
      <c r="P48" s="95"/>
      <c r="Q48" s="95"/>
      <c r="R48" s="63">
        <f t="shared" si="0"/>
        <v>0</v>
      </c>
      <c r="S48" s="95"/>
      <c r="T48" s="95"/>
      <c r="U48" s="95"/>
      <c r="V48" s="95"/>
      <c r="W48" s="100"/>
      <c r="X48" s="95"/>
      <c r="Y48" s="63">
        <f t="shared" si="1"/>
        <v>0</v>
      </c>
      <c r="Z48" s="100"/>
      <c r="AA48" s="95"/>
      <c r="AB48" s="95"/>
      <c r="AC48" s="95"/>
      <c r="AD48" s="96"/>
      <c r="AE48" s="97"/>
      <c r="AF48" s="101"/>
    </row>
    <row r="49" spans="1:32" x14ac:dyDescent="0.25">
      <c r="A49" s="32" t="s">
        <v>351</v>
      </c>
      <c r="B49" s="32">
        <v>8</v>
      </c>
      <c r="C49" s="32" t="s">
        <v>426</v>
      </c>
      <c r="D49" s="32" t="s">
        <v>427</v>
      </c>
      <c r="E49" s="95"/>
      <c r="F49" s="95"/>
      <c r="G49" s="95"/>
      <c r="H49" s="95"/>
      <c r="I49" s="32" t="s">
        <v>601</v>
      </c>
      <c r="J49" s="96" t="s">
        <v>600</v>
      </c>
      <c r="K49" s="97"/>
      <c r="L49" s="98"/>
      <c r="M49" s="98"/>
      <c r="N49" s="99"/>
      <c r="O49" s="95"/>
      <c r="P49" s="95"/>
      <c r="Q49" s="95"/>
      <c r="R49" s="63">
        <f t="shared" si="0"/>
        <v>0</v>
      </c>
      <c r="S49" s="95"/>
      <c r="T49" s="95"/>
      <c r="U49" s="95"/>
      <c r="V49" s="95"/>
      <c r="W49" s="100"/>
      <c r="X49" s="95"/>
      <c r="Y49" s="63">
        <f t="shared" si="1"/>
        <v>0</v>
      </c>
      <c r="Z49" s="100"/>
      <c r="AA49" s="95"/>
      <c r="AB49" s="95"/>
      <c r="AC49" s="95"/>
      <c r="AD49" s="96"/>
      <c r="AE49" s="97"/>
      <c r="AF49" s="101"/>
    </row>
    <row r="50" spans="1:32" x14ac:dyDescent="0.25">
      <c r="A50" s="32" t="s">
        <v>352</v>
      </c>
      <c r="B50" s="32">
        <v>8</v>
      </c>
      <c r="C50" s="32" t="s">
        <v>428</v>
      </c>
      <c r="D50" s="32" t="s">
        <v>426</v>
      </c>
      <c r="E50" s="95"/>
      <c r="F50" s="95"/>
      <c r="G50" s="95"/>
      <c r="H50" s="95"/>
      <c r="I50" s="32" t="s">
        <v>601</v>
      </c>
      <c r="J50" s="96" t="s">
        <v>600</v>
      </c>
      <c r="K50" s="97"/>
      <c r="L50" s="98"/>
      <c r="M50" s="98"/>
      <c r="N50" s="99"/>
      <c r="O50" s="95"/>
      <c r="P50" s="95"/>
      <c r="Q50" s="95"/>
      <c r="R50" s="63">
        <f t="shared" si="0"/>
        <v>0</v>
      </c>
      <c r="S50" s="95"/>
      <c r="T50" s="95"/>
      <c r="U50" s="95"/>
      <c r="V50" s="95"/>
      <c r="W50" s="100"/>
      <c r="X50" s="95"/>
      <c r="Y50" s="63">
        <f t="shared" si="1"/>
        <v>0</v>
      </c>
      <c r="Z50" s="100"/>
      <c r="AA50" s="95"/>
      <c r="AB50" s="95"/>
      <c r="AC50" s="95"/>
      <c r="AD50" s="96"/>
      <c r="AE50" s="97"/>
      <c r="AF50" s="101"/>
    </row>
    <row r="51" spans="1:32" x14ac:dyDescent="0.25">
      <c r="A51" s="32" t="s">
        <v>353</v>
      </c>
      <c r="B51" s="32">
        <v>8</v>
      </c>
      <c r="C51" s="32" t="s">
        <v>429</v>
      </c>
      <c r="D51" s="32" t="s">
        <v>428</v>
      </c>
      <c r="E51" s="95"/>
      <c r="F51" s="95"/>
      <c r="G51" s="95"/>
      <c r="H51" s="95"/>
      <c r="I51" s="32" t="s">
        <v>601</v>
      </c>
      <c r="J51" s="96" t="s">
        <v>600</v>
      </c>
      <c r="K51" s="97"/>
      <c r="L51" s="98"/>
      <c r="M51" s="98"/>
      <c r="N51" s="99"/>
      <c r="O51" s="95"/>
      <c r="P51" s="95"/>
      <c r="Q51" s="95"/>
      <c r="R51" s="63">
        <f t="shared" si="0"/>
        <v>0</v>
      </c>
      <c r="S51" s="95"/>
      <c r="T51" s="95"/>
      <c r="U51" s="95"/>
      <c r="V51" s="95"/>
      <c r="W51" s="100"/>
      <c r="X51" s="95"/>
      <c r="Y51" s="63">
        <f t="shared" si="1"/>
        <v>0</v>
      </c>
      <c r="Z51" s="100"/>
      <c r="AA51" s="95"/>
      <c r="AB51" s="95"/>
      <c r="AC51" s="95"/>
      <c r="AD51" s="96"/>
      <c r="AE51" s="97"/>
      <c r="AF51" s="101"/>
    </row>
    <row r="52" spans="1:32" x14ac:dyDescent="0.25">
      <c r="A52" s="32" t="s">
        <v>354</v>
      </c>
      <c r="B52" s="32">
        <v>8</v>
      </c>
      <c r="C52" s="32" t="s">
        <v>430</v>
      </c>
      <c r="D52" s="32" t="s">
        <v>429</v>
      </c>
      <c r="E52" s="95"/>
      <c r="F52" s="95"/>
      <c r="G52" s="95"/>
      <c r="H52" s="95"/>
      <c r="I52" s="32" t="s">
        <v>597</v>
      </c>
      <c r="J52" s="96" t="s">
        <v>588</v>
      </c>
      <c r="K52" s="97"/>
      <c r="L52" s="98"/>
      <c r="M52" s="98"/>
      <c r="N52" s="99"/>
      <c r="O52" s="95"/>
      <c r="P52" s="95"/>
      <c r="Q52" s="95"/>
      <c r="R52" s="63">
        <f t="shared" si="0"/>
        <v>0</v>
      </c>
      <c r="S52" s="95"/>
      <c r="T52" s="95"/>
      <c r="U52" s="95"/>
      <c r="V52" s="95"/>
      <c r="W52" s="100"/>
      <c r="X52" s="95"/>
      <c r="Y52" s="63">
        <f t="shared" si="1"/>
        <v>0</v>
      </c>
      <c r="Z52" s="100"/>
      <c r="AA52" s="95"/>
      <c r="AB52" s="95"/>
      <c r="AC52" s="95"/>
      <c r="AD52" s="96"/>
      <c r="AE52" s="97"/>
      <c r="AF52" s="101"/>
    </row>
    <row r="53" spans="1:32" x14ac:dyDescent="0.25">
      <c r="A53" s="32" t="s">
        <v>355</v>
      </c>
      <c r="B53" s="32">
        <v>8</v>
      </c>
      <c r="C53" s="32" t="s">
        <v>431</v>
      </c>
      <c r="D53" s="32" t="s">
        <v>414</v>
      </c>
      <c r="E53" s="95"/>
      <c r="F53" s="95"/>
      <c r="G53" s="95"/>
      <c r="H53" s="95"/>
      <c r="I53" s="32" t="s">
        <v>597</v>
      </c>
      <c r="J53" s="96" t="s">
        <v>588</v>
      </c>
      <c r="K53" s="97"/>
      <c r="L53" s="98"/>
      <c r="M53" s="98"/>
      <c r="N53" s="99"/>
      <c r="O53" s="95"/>
      <c r="P53" s="95"/>
      <c r="Q53" s="95"/>
      <c r="R53" s="63">
        <f t="shared" si="0"/>
        <v>0</v>
      </c>
      <c r="S53" s="95"/>
      <c r="T53" s="95"/>
      <c r="U53" s="95"/>
      <c r="V53" s="95"/>
      <c r="W53" s="100"/>
      <c r="X53" s="95"/>
      <c r="Y53" s="63">
        <f t="shared" si="1"/>
        <v>0</v>
      </c>
      <c r="Z53" s="100"/>
      <c r="AA53" s="95"/>
      <c r="AB53" s="95"/>
      <c r="AC53" s="95"/>
      <c r="AD53" s="96"/>
      <c r="AE53" s="97"/>
      <c r="AF53" s="101"/>
    </row>
    <row r="54" spans="1:32" x14ac:dyDescent="0.25">
      <c r="A54" s="32" t="s">
        <v>356</v>
      </c>
      <c r="B54" s="32">
        <v>8</v>
      </c>
      <c r="C54" s="32" t="s">
        <v>432</v>
      </c>
      <c r="D54" s="32" t="s">
        <v>433</v>
      </c>
      <c r="E54" s="95"/>
      <c r="F54" s="95"/>
      <c r="G54" s="95"/>
      <c r="H54" s="95"/>
      <c r="I54" s="32" t="s">
        <v>597</v>
      </c>
      <c r="J54" s="96" t="s">
        <v>588</v>
      </c>
      <c r="K54" s="97"/>
      <c r="L54" s="98"/>
      <c r="M54" s="98"/>
      <c r="N54" s="99"/>
      <c r="O54" s="95"/>
      <c r="P54" s="95"/>
      <c r="Q54" s="95"/>
      <c r="R54" s="63">
        <f t="shared" si="0"/>
        <v>0</v>
      </c>
      <c r="S54" s="95"/>
      <c r="T54" s="95"/>
      <c r="U54" s="95"/>
      <c r="V54" s="95"/>
      <c r="W54" s="100"/>
      <c r="X54" s="95"/>
      <c r="Y54" s="63">
        <f t="shared" si="1"/>
        <v>0</v>
      </c>
      <c r="Z54" s="100"/>
      <c r="AA54" s="95"/>
      <c r="AB54" s="95"/>
      <c r="AC54" s="95"/>
      <c r="AD54" s="96"/>
      <c r="AE54" s="97"/>
      <c r="AF54" s="101"/>
    </row>
    <row r="55" spans="1:32" x14ac:dyDescent="0.25">
      <c r="A55" s="32" t="s">
        <v>357</v>
      </c>
      <c r="B55" s="32">
        <v>8</v>
      </c>
      <c r="C55" s="32" t="s">
        <v>434</v>
      </c>
      <c r="D55" s="32" t="s">
        <v>432</v>
      </c>
      <c r="E55" s="95"/>
      <c r="F55" s="95"/>
      <c r="G55" s="95"/>
      <c r="H55" s="95"/>
      <c r="I55" s="32" t="s">
        <v>593</v>
      </c>
      <c r="J55" s="96" t="s">
        <v>588</v>
      </c>
      <c r="K55" s="97"/>
      <c r="L55" s="98"/>
      <c r="M55" s="98"/>
      <c r="N55" s="99"/>
      <c r="O55" s="95"/>
      <c r="P55" s="95"/>
      <c r="Q55" s="95"/>
      <c r="R55" s="63">
        <f t="shared" si="0"/>
        <v>0</v>
      </c>
      <c r="S55" s="95"/>
      <c r="T55" s="95"/>
      <c r="U55" s="95"/>
      <c r="V55" s="95"/>
      <c r="W55" s="100"/>
      <c r="X55" s="95"/>
      <c r="Y55" s="63">
        <f t="shared" si="1"/>
        <v>0</v>
      </c>
      <c r="Z55" s="100"/>
      <c r="AA55" s="95"/>
      <c r="AB55" s="95"/>
      <c r="AC55" s="95"/>
      <c r="AD55" s="96"/>
      <c r="AE55" s="97"/>
      <c r="AF55" s="101"/>
    </row>
    <row r="56" spans="1:32" x14ac:dyDescent="0.25">
      <c r="A56" s="32" t="s">
        <v>358</v>
      </c>
      <c r="B56" s="32">
        <v>8</v>
      </c>
      <c r="C56" s="32" t="s">
        <v>435</v>
      </c>
      <c r="D56" s="32" t="s">
        <v>436</v>
      </c>
      <c r="E56" s="95"/>
      <c r="F56" s="95"/>
      <c r="G56" s="95"/>
      <c r="H56" s="95"/>
      <c r="I56" s="32" t="s">
        <v>594</v>
      </c>
      <c r="J56" s="96" t="s">
        <v>588</v>
      </c>
      <c r="K56" s="97"/>
      <c r="L56" s="98"/>
      <c r="M56" s="98"/>
      <c r="N56" s="99"/>
      <c r="O56" s="95"/>
      <c r="P56" s="95"/>
      <c r="Q56" s="95"/>
      <c r="R56" s="63">
        <f t="shared" si="0"/>
        <v>0</v>
      </c>
      <c r="S56" s="95"/>
      <c r="T56" s="95"/>
      <c r="U56" s="95"/>
      <c r="V56" s="95"/>
      <c r="W56" s="100"/>
      <c r="X56" s="95"/>
      <c r="Y56" s="63">
        <f t="shared" si="1"/>
        <v>0</v>
      </c>
      <c r="Z56" s="100"/>
      <c r="AA56" s="95"/>
      <c r="AB56" s="95"/>
      <c r="AC56" s="95"/>
      <c r="AD56" s="96"/>
      <c r="AE56" s="97"/>
      <c r="AF56" s="101"/>
    </row>
    <row r="57" spans="1:32" x14ac:dyDescent="0.25">
      <c r="A57" s="32" t="s">
        <v>359</v>
      </c>
      <c r="B57" s="32">
        <v>8</v>
      </c>
      <c r="C57" s="32" t="s">
        <v>437</v>
      </c>
      <c r="D57" s="32" t="s">
        <v>438</v>
      </c>
      <c r="E57" s="95"/>
      <c r="F57" s="95"/>
      <c r="G57" s="95"/>
      <c r="H57" s="95"/>
      <c r="I57" s="32" t="s">
        <v>593</v>
      </c>
      <c r="J57" s="96" t="s">
        <v>588</v>
      </c>
      <c r="K57" s="97"/>
      <c r="L57" s="98"/>
      <c r="M57" s="98"/>
      <c r="N57" s="99"/>
      <c r="O57" s="95"/>
      <c r="P57" s="95"/>
      <c r="Q57" s="95"/>
      <c r="R57" s="63">
        <f t="shared" si="0"/>
        <v>0</v>
      </c>
      <c r="S57" s="95"/>
      <c r="T57" s="95"/>
      <c r="U57" s="95"/>
      <c r="V57" s="95"/>
      <c r="W57" s="100"/>
      <c r="X57" s="95"/>
      <c r="Y57" s="63">
        <f t="shared" si="1"/>
        <v>0</v>
      </c>
      <c r="Z57" s="100"/>
      <c r="AA57" s="95"/>
      <c r="AB57" s="95"/>
      <c r="AC57" s="95"/>
      <c r="AD57" s="96"/>
      <c r="AE57" s="97"/>
      <c r="AF57" s="101"/>
    </row>
    <row r="58" spans="1:32" x14ac:dyDescent="0.25">
      <c r="A58" s="32" t="s">
        <v>360</v>
      </c>
      <c r="B58" s="32">
        <v>8</v>
      </c>
      <c r="C58" s="32" t="s">
        <v>439</v>
      </c>
      <c r="D58" s="32" t="s">
        <v>440</v>
      </c>
      <c r="E58" s="95"/>
      <c r="F58" s="95"/>
      <c r="G58" s="95"/>
      <c r="H58" s="95"/>
      <c r="I58" s="32" t="s">
        <v>592</v>
      </c>
      <c r="J58" s="96" t="s">
        <v>588</v>
      </c>
      <c r="K58" s="97"/>
      <c r="L58" s="98"/>
      <c r="M58" s="98"/>
      <c r="N58" s="99"/>
      <c r="O58" s="95"/>
      <c r="P58" s="95"/>
      <c r="Q58" s="95"/>
      <c r="R58" s="63">
        <f t="shared" si="0"/>
        <v>0</v>
      </c>
      <c r="S58" s="95"/>
      <c r="T58" s="95"/>
      <c r="U58" s="95"/>
      <c r="V58" s="95"/>
      <c r="W58" s="100"/>
      <c r="X58" s="95"/>
      <c r="Y58" s="63">
        <f t="shared" si="1"/>
        <v>0</v>
      </c>
      <c r="Z58" s="100"/>
      <c r="AA58" s="95"/>
      <c r="AB58" s="95"/>
      <c r="AC58" s="95"/>
      <c r="AD58" s="96"/>
      <c r="AE58" s="97"/>
      <c r="AF58" s="101"/>
    </row>
    <row r="59" spans="1:32" x14ac:dyDescent="0.25">
      <c r="A59" s="32" t="s">
        <v>361</v>
      </c>
      <c r="B59" s="32">
        <v>8</v>
      </c>
      <c r="C59" s="32" t="s">
        <v>405</v>
      </c>
      <c r="D59" s="32" t="s">
        <v>441</v>
      </c>
      <c r="E59" s="95"/>
      <c r="F59" s="95"/>
      <c r="G59" s="95"/>
      <c r="H59" s="95"/>
      <c r="I59" s="32" t="s">
        <v>590</v>
      </c>
      <c r="J59" s="96" t="s">
        <v>588</v>
      </c>
      <c r="K59" s="97"/>
      <c r="L59" s="98"/>
      <c r="M59" s="98"/>
      <c r="N59" s="99"/>
      <c r="O59" s="95"/>
      <c r="P59" s="95"/>
      <c r="Q59" s="95"/>
      <c r="R59" s="63">
        <f t="shared" si="0"/>
        <v>0</v>
      </c>
      <c r="S59" s="95"/>
      <c r="T59" s="95"/>
      <c r="U59" s="95"/>
      <c r="V59" s="95"/>
      <c r="W59" s="100"/>
      <c r="X59" s="95"/>
      <c r="Y59" s="63">
        <f t="shared" si="1"/>
        <v>0</v>
      </c>
      <c r="Z59" s="100"/>
      <c r="AA59" s="95"/>
      <c r="AB59" s="95"/>
      <c r="AC59" s="95"/>
      <c r="AD59" s="96"/>
      <c r="AE59" s="97"/>
      <c r="AF59" s="101"/>
    </row>
    <row r="60" spans="1:32" x14ac:dyDescent="0.25">
      <c r="A60" s="32" t="s">
        <v>288</v>
      </c>
      <c r="B60" s="32">
        <v>8</v>
      </c>
      <c r="C60" s="32" t="s">
        <v>440</v>
      </c>
      <c r="D60" s="32" t="s">
        <v>405</v>
      </c>
      <c r="E60" s="95"/>
      <c r="F60" s="95"/>
      <c r="G60" s="95"/>
      <c r="H60" s="95"/>
      <c r="I60" s="32" t="s">
        <v>592</v>
      </c>
      <c r="J60" s="96" t="s">
        <v>588</v>
      </c>
      <c r="K60" s="97"/>
      <c r="L60" s="98"/>
      <c r="M60" s="98"/>
      <c r="N60" s="99"/>
      <c r="O60" s="95"/>
      <c r="P60" s="95"/>
      <c r="Q60" s="95"/>
      <c r="R60" s="63">
        <f t="shared" si="0"/>
        <v>0</v>
      </c>
      <c r="S60" s="95"/>
      <c r="T60" s="95"/>
      <c r="U60" s="95"/>
      <c r="V60" s="95"/>
      <c r="W60" s="100"/>
      <c r="X60" s="95"/>
      <c r="Y60" s="63">
        <f t="shared" si="1"/>
        <v>0</v>
      </c>
      <c r="Z60" s="100"/>
      <c r="AA60" s="95"/>
      <c r="AB60" s="95"/>
      <c r="AC60" s="95"/>
      <c r="AD60" s="96"/>
      <c r="AE60" s="97"/>
      <c r="AF60" s="101"/>
    </row>
    <row r="61" spans="1:32" x14ac:dyDescent="0.25">
      <c r="A61" s="32" t="s">
        <v>289</v>
      </c>
      <c r="B61" s="32">
        <v>8</v>
      </c>
      <c r="C61" s="32" t="s">
        <v>442</v>
      </c>
      <c r="D61" s="32" t="s">
        <v>443</v>
      </c>
      <c r="E61" s="95"/>
      <c r="F61" s="95"/>
      <c r="G61" s="95"/>
      <c r="H61" s="95"/>
      <c r="I61" s="32" t="s">
        <v>592</v>
      </c>
      <c r="J61" s="96" t="s">
        <v>588</v>
      </c>
      <c r="K61" s="97"/>
      <c r="L61" s="98"/>
      <c r="M61" s="98"/>
      <c r="N61" s="99"/>
      <c r="O61" s="95"/>
      <c r="P61" s="95"/>
      <c r="Q61" s="95"/>
      <c r="R61" s="63">
        <f t="shared" si="0"/>
        <v>0</v>
      </c>
      <c r="S61" s="95"/>
      <c r="T61" s="95"/>
      <c r="U61" s="95"/>
      <c r="V61" s="95"/>
      <c r="W61" s="100"/>
      <c r="X61" s="95"/>
      <c r="Y61" s="63">
        <f t="shared" si="1"/>
        <v>0</v>
      </c>
      <c r="Z61" s="100"/>
      <c r="AA61" s="95"/>
      <c r="AB61" s="95"/>
      <c r="AC61" s="95"/>
      <c r="AD61" s="96"/>
      <c r="AE61" s="97"/>
      <c r="AF61" s="101"/>
    </row>
    <row r="62" spans="1:32" x14ac:dyDescent="0.25">
      <c r="A62" s="32" t="s">
        <v>290</v>
      </c>
      <c r="B62" s="32">
        <v>8</v>
      </c>
      <c r="C62" s="32" t="s">
        <v>443</v>
      </c>
      <c r="D62" s="32" t="s">
        <v>439</v>
      </c>
      <c r="E62" s="95"/>
      <c r="F62" s="95"/>
      <c r="G62" s="95"/>
      <c r="H62" s="95"/>
      <c r="I62" s="32" t="s">
        <v>592</v>
      </c>
      <c r="J62" s="96" t="s">
        <v>588</v>
      </c>
      <c r="K62" s="97"/>
      <c r="L62" s="98"/>
      <c r="M62" s="98"/>
      <c r="N62" s="99"/>
      <c r="O62" s="95"/>
      <c r="P62" s="95"/>
      <c r="Q62" s="95"/>
      <c r="R62" s="63">
        <f t="shared" si="0"/>
        <v>0</v>
      </c>
      <c r="S62" s="95"/>
      <c r="T62" s="95"/>
      <c r="U62" s="95"/>
      <c r="V62" s="95"/>
      <c r="W62" s="100"/>
      <c r="X62" s="95"/>
      <c r="Y62" s="63">
        <f t="shared" si="1"/>
        <v>0</v>
      </c>
      <c r="Z62" s="100"/>
      <c r="AA62" s="95"/>
      <c r="AB62" s="95"/>
      <c r="AC62" s="95"/>
      <c r="AD62" s="96"/>
      <c r="AE62" s="97"/>
      <c r="AF62" s="101"/>
    </row>
    <row r="63" spans="1:32" x14ac:dyDescent="0.25">
      <c r="A63" s="32" t="s">
        <v>291</v>
      </c>
      <c r="B63" s="32">
        <v>8</v>
      </c>
      <c r="C63" s="32" t="s">
        <v>444</v>
      </c>
      <c r="D63" s="32" t="s">
        <v>445</v>
      </c>
      <c r="E63" s="95"/>
      <c r="F63" s="95"/>
      <c r="G63" s="95"/>
      <c r="H63" s="95"/>
      <c r="I63" s="32" t="s">
        <v>590</v>
      </c>
      <c r="J63" s="96" t="s">
        <v>588</v>
      </c>
      <c r="K63" s="97"/>
      <c r="L63" s="98"/>
      <c r="M63" s="98"/>
      <c r="N63" s="99"/>
      <c r="O63" s="95"/>
      <c r="P63" s="95"/>
      <c r="Q63" s="95"/>
      <c r="R63" s="63">
        <f t="shared" si="0"/>
        <v>0</v>
      </c>
      <c r="S63" s="95"/>
      <c r="T63" s="95"/>
      <c r="U63" s="95"/>
      <c r="V63" s="95"/>
      <c r="W63" s="100"/>
      <c r="X63" s="95"/>
      <c r="Y63" s="63">
        <f t="shared" si="1"/>
        <v>0</v>
      </c>
      <c r="Z63" s="100"/>
      <c r="AA63" s="95"/>
      <c r="AB63" s="95"/>
      <c r="AC63" s="95"/>
      <c r="AD63" s="96"/>
      <c r="AE63" s="97"/>
      <c r="AF63" s="101"/>
    </row>
    <row r="64" spans="1:32" x14ac:dyDescent="0.25">
      <c r="A64" s="32" t="s">
        <v>292</v>
      </c>
      <c r="B64" s="32">
        <v>8</v>
      </c>
      <c r="C64" s="32" t="s">
        <v>446</v>
      </c>
      <c r="D64" s="32" t="s">
        <v>447</v>
      </c>
      <c r="E64" s="95"/>
      <c r="F64" s="95"/>
      <c r="G64" s="95"/>
      <c r="H64" s="95"/>
      <c r="I64" s="32" t="s">
        <v>589</v>
      </c>
      <c r="J64" s="96" t="s">
        <v>588</v>
      </c>
      <c r="K64" s="97"/>
      <c r="L64" s="98"/>
      <c r="M64" s="98"/>
      <c r="N64" s="99"/>
      <c r="O64" s="95"/>
      <c r="P64" s="95"/>
      <c r="Q64" s="95"/>
      <c r="R64" s="63">
        <f t="shared" si="0"/>
        <v>0</v>
      </c>
      <c r="S64" s="95"/>
      <c r="T64" s="95"/>
      <c r="U64" s="95"/>
      <c r="V64" s="95"/>
      <c r="W64" s="100"/>
      <c r="X64" s="95"/>
      <c r="Y64" s="63">
        <f t="shared" si="1"/>
        <v>0</v>
      </c>
      <c r="Z64" s="100"/>
      <c r="AA64" s="95"/>
      <c r="AB64" s="95"/>
      <c r="AC64" s="95"/>
      <c r="AD64" s="96"/>
      <c r="AE64" s="97"/>
      <c r="AF64" s="101"/>
    </row>
    <row r="65" spans="1:32" x14ac:dyDescent="0.25">
      <c r="A65" s="32" t="s">
        <v>293</v>
      </c>
      <c r="B65" s="32">
        <v>8</v>
      </c>
      <c r="C65" s="32" t="s">
        <v>448</v>
      </c>
      <c r="D65" s="32" t="s">
        <v>449</v>
      </c>
      <c r="E65" s="95"/>
      <c r="F65" s="95"/>
      <c r="G65" s="95"/>
      <c r="H65" s="95"/>
      <c r="I65" s="32" t="s">
        <v>589</v>
      </c>
      <c r="J65" s="96" t="s">
        <v>588</v>
      </c>
      <c r="K65" s="97"/>
      <c r="L65" s="98"/>
      <c r="M65" s="98"/>
      <c r="N65" s="99"/>
      <c r="O65" s="95"/>
      <c r="P65" s="95"/>
      <c r="Q65" s="95"/>
      <c r="R65" s="63">
        <f t="shared" si="0"/>
        <v>0</v>
      </c>
      <c r="S65" s="95"/>
      <c r="T65" s="95"/>
      <c r="U65" s="95"/>
      <c r="V65" s="95"/>
      <c r="W65" s="100"/>
      <c r="X65" s="95"/>
      <c r="Y65" s="63">
        <f t="shared" si="1"/>
        <v>0</v>
      </c>
      <c r="Z65" s="100"/>
      <c r="AA65" s="95"/>
      <c r="AB65" s="95"/>
      <c r="AC65" s="95"/>
      <c r="AD65" s="96"/>
      <c r="AE65" s="97"/>
      <c r="AF65" s="101"/>
    </row>
    <row r="66" spans="1:32" x14ac:dyDescent="0.25">
      <c r="A66" s="32" t="s">
        <v>294</v>
      </c>
      <c r="B66" s="32">
        <v>8</v>
      </c>
      <c r="C66" s="32" t="s">
        <v>450</v>
      </c>
      <c r="D66" s="32" t="s">
        <v>415</v>
      </c>
      <c r="E66" s="95"/>
      <c r="F66" s="95"/>
      <c r="G66" s="95"/>
      <c r="H66" s="95"/>
      <c r="I66" s="32" t="s">
        <v>589</v>
      </c>
      <c r="J66" s="96" t="s">
        <v>588</v>
      </c>
      <c r="K66" s="97"/>
      <c r="L66" s="98"/>
      <c r="M66" s="98"/>
      <c r="N66" s="99"/>
      <c r="O66" s="95"/>
      <c r="P66" s="95"/>
      <c r="Q66" s="95"/>
      <c r="R66" s="63">
        <f t="shared" si="0"/>
        <v>0</v>
      </c>
      <c r="S66" s="95"/>
      <c r="T66" s="95"/>
      <c r="U66" s="95"/>
      <c r="V66" s="95"/>
      <c r="W66" s="100"/>
      <c r="X66" s="95"/>
      <c r="Y66" s="63">
        <f t="shared" si="1"/>
        <v>0</v>
      </c>
      <c r="Z66" s="100"/>
      <c r="AA66" s="95"/>
      <c r="AB66" s="95"/>
      <c r="AC66" s="95"/>
      <c r="AD66" s="96"/>
      <c r="AE66" s="97"/>
      <c r="AF66" s="101"/>
    </row>
    <row r="67" spans="1:32" x14ac:dyDescent="0.25">
      <c r="A67" s="32" t="s">
        <v>295</v>
      </c>
      <c r="B67" s="32">
        <v>8</v>
      </c>
      <c r="C67" s="32" t="s">
        <v>449</v>
      </c>
      <c r="D67" s="32" t="s">
        <v>450</v>
      </c>
      <c r="E67" s="95"/>
      <c r="F67" s="95"/>
      <c r="G67" s="95"/>
      <c r="H67" s="95"/>
      <c r="I67" s="32" t="s">
        <v>589</v>
      </c>
      <c r="J67" s="96" t="s">
        <v>588</v>
      </c>
      <c r="K67" s="97"/>
      <c r="L67" s="98"/>
      <c r="M67" s="98"/>
      <c r="N67" s="99"/>
      <c r="O67" s="95"/>
      <c r="P67" s="95"/>
      <c r="Q67" s="95"/>
      <c r="R67" s="63">
        <f t="shared" si="0"/>
        <v>0</v>
      </c>
      <c r="S67" s="95"/>
      <c r="T67" s="95"/>
      <c r="U67" s="95"/>
      <c r="V67" s="95"/>
      <c r="W67" s="100"/>
      <c r="X67" s="95"/>
      <c r="Y67" s="63">
        <f t="shared" si="1"/>
        <v>0</v>
      </c>
      <c r="Z67" s="100"/>
      <c r="AA67" s="95"/>
      <c r="AB67" s="95"/>
      <c r="AC67" s="95"/>
      <c r="AD67" s="96"/>
      <c r="AE67" s="97"/>
      <c r="AF67" s="101"/>
    </row>
    <row r="68" spans="1:32" x14ac:dyDescent="0.25">
      <c r="A68" s="32" t="s">
        <v>296</v>
      </c>
      <c r="B68" s="32">
        <v>8</v>
      </c>
      <c r="C68" s="32" t="s">
        <v>447</v>
      </c>
      <c r="D68" s="32" t="s">
        <v>451</v>
      </c>
      <c r="E68" s="95"/>
      <c r="F68" s="95"/>
      <c r="G68" s="95"/>
      <c r="H68" s="95"/>
      <c r="I68" s="32" t="s">
        <v>589</v>
      </c>
      <c r="J68" s="96" t="s">
        <v>588</v>
      </c>
      <c r="K68" s="97"/>
      <c r="L68" s="98"/>
      <c r="M68" s="98"/>
      <c r="N68" s="99"/>
      <c r="O68" s="95"/>
      <c r="P68" s="95"/>
      <c r="Q68" s="95"/>
      <c r="R68" s="63">
        <f t="shared" si="0"/>
        <v>0</v>
      </c>
      <c r="S68" s="95"/>
      <c r="T68" s="95"/>
      <c r="U68" s="95"/>
      <c r="V68" s="95"/>
      <c r="W68" s="100"/>
      <c r="X68" s="95"/>
      <c r="Y68" s="63">
        <f t="shared" si="1"/>
        <v>0</v>
      </c>
      <c r="Z68" s="100"/>
      <c r="AA68" s="95"/>
      <c r="AB68" s="95"/>
      <c r="AC68" s="95"/>
      <c r="AD68" s="96"/>
      <c r="AE68" s="97"/>
      <c r="AF68" s="101"/>
    </row>
    <row r="69" spans="1:32" x14ac:dyDescent="0.25">
      <c r="A69" s="32" t="s">
        <v>297</v>
      </c>
      <c r="B69" s="32">
        <v>8</v>
      </c>
      <c r="C69" s="32" t="s">
        <v>452</v>
      </c>
      <c r="D69" s="32" t="s">
        <v>409</v>
      </c>
      <c r="E69" s="95"/>
      <c r="F69" s="95"/>
      <c r="G69" s="95"/>
      <c r="H69" s="95"/>
      <c r="I69" s="32" t="s">
        <v>596</v>
      </c>
      <c r="J69" s="96" t="s">
        <v>588</v>
      </c>
      <c r="K69" s="97"/>
      <c r="L69" s="98"/>
      <c r="M69" s="98"/>
      <c r="N69" s="99"/>
      <c r="O69" s="95"/>
      <c r="P69" s="95"/>
      <c r="Q69" s="95"/>
      <c r="R69" s="63">
        <f t="shared" ref="R69:R109" si="2">IF(AND(Q69&gt;8, L69="CIPP with C/O"), Q69-8, IF(AND(Q69&gt;8, L69="Cleanout Only"), Q69-8, IF(AND(Q69&gt;10, L69="Service Relay"), Q69-10,0)))</f>
        <v>0</v>
      </c>
      <c r="S69" s="95"/>
      <c r="T69" s="95"/>
      <c r="U69" s="95"/>
      <c r="V69" s="95"/>
      <c r="W69" s="100"/>
      <c r="X69" s="95"/>
      <c r="Y69" s="63">
        <f t="shared" ref="Y69:Y109" si="3">IF(X69&gt;10, X69-10,0)</f>
        <v>0</v>
      </c>
      <c r="Z69" s="100"/>
      <c r="AA69" s="95"/>
      <c r="AB69" s="95"/>
      <c r="AC69" s="95"/>
      <c r="AD69" s="96"/>
      <c r="AE69" s="97"/>
      <c r="AF69" s="101"/>
    </row>
    <row r="70" spans="1:32" x14ac:dyDescent="0.25">
      <c r="A70" s="32" t="s">
        <v>298</v>
      </c>
      <c r="B70" s="32">
        <v>8</v>
      </c>
      <c r="C70" s="32" t="s">
        <v>453</v>
      </c>
      <c r="D70" s="32" t="s">
        <v>452</v>
      </c>
      <c r="E70" s="95"/>
      <c r="F70" s="95"/>
      <c r="G70" s="95"/>
      <c r="H70" s="95"/>
      <c r="I70" s="32" t="s">
        <v>596</v>
      </c>
      <c r="J70" s="96" t="s">
        <v>588</v>
      </c>
      <c r="K70" s="97"/>
      <c r="L70" s="98"/>
      <c r="M70" s="98"/>
      <c r="N70" s="99"/>
      <c r="O70" s="95"/>
      <c r="P70" s="95"/>
      <c r="Q70" s="95"/>
      <c r="R70" s="63">
        <f t="shared" si="2"/>
        <v>0</v>
      </c>
      <c r="S70" s="95"/>
      <c r="T70" s="95"/>
      <c r="U70" s="95"/>
      <c r="V70" s="95"/>
      <c r="W70" s="100"/>
      <c r="X70" s="95"/>
      <c r="Y70" s="63">
        <f t="shared" si="3"/>
        <v>0</v>
      </c>
      <c r="Z70" s="100"/>
      <c r="AA70" s="95"/>
      <c r="AB70" s="95"/>
      <c r="AC70" s="95"/>
      <c r="AD70" s="96"/>
      <c r="AE70" s="97"/>
      <c r="AF70" s="101"/>
    </row>
    <row r="71" spans="1:32" x14ac:dyDescent="0.25">
      <c r="A71" s="32" t="s">
        <v>299</v>
      </c>
      <c r="B71" s="32">
        <v>8</v>
      </c>
      <c r="C71" s="32" t="s">
        <v>454</v>
      </c>
      <c r="D71" s="32" t="s">
        <v>453</v>
      </c>
      <c r="E71" s="95"/>
      <c r="F71" s="95"/>
      <c r="G71" s="95"/>
      <c r="H71" s="95"/>
      <c r="I71" s="32" t="s">
        <v>596</v>
      </c>
      <c r="J71" s="96" t="s">
        <v>588</v>
      </c>
      <c r="K71" s="97"/>
      <c r="L71" s="98"/>
      <c r="M71" s="98"/>
      <c r="N71" s="99"/>
      <c r="O71" s="95"/>
      <c r="P71" s="95"/>
      <c r="Q71" s="95"/>
      <c r="R71" s="63">
        <f t="shared" si="2"/>
        <v>0</v>
      </c>
      <c r="S71" s="95"/>
      <c r="T71" s="95"/>
      <c r="U71" s="95"/>
      <c r="V71" s="95"/>
      <c r="W71" s="100"/>
      <c r="X71" s="95"/>
      <c r="Y71" s="63">
        <f t="shared" si="3"/>
        <v>0</v>
      </c>
      <c r="Z71" s="100"/>
      <c r="AA71" s="95"/>
      <c r="AB71" s="95"/>
      <c r="AC71" s="95"/>
      <c r="AD71" s="96"/>
      <c r="AE71" s="97"/>
      <c r="AF71" s="101"/>
    </row>
    <row r="72" spans="1:32" x14ac:dyDescent="0.25">
      <c r="A72" s="32" t="s">
        <v>300</v>
      </c>
      <c r="B72" s="32">
        <v>8</v>
      </c>
      <c r="C72" s="32" t="s">
        <v>455</v>
      </c>
      <c r="D72" s="32" t="s">
        <v>378</v>
      </c>
      <c r="E72" s="95"/>
      <c r="F72" s="95"/>
      <c r="G72" s="95"/>
      <c r="H72" s="95"/>
      <c r="I72" s="32" t="s">
        <v>604</v>
      </c>
      <c r="J72" s="96" t="s">
        <v>603</v>
      </c>
      <c r="K72" s="97"/>
      <c r="L72" s="98"/>
      <c r="M72" s="98"/>
      <c r="N72" s="99"/>
      <c r="O72" s="95"/>
      <c r="P72" s="95"/>
      <c r="Q72" s="95"/>
      <c r="R72" s="63">
        <f t="shared" si="2"/>
        <v>0</v>
      </c>
      <c r="S72" s="95"/>
      <c r="T72" s="95"/>
      <c r="U72" s="95"/>
      <c r="V72" s="95"/>
      <c r="W72" s="100"/>
      <c r="X72" s="95"/>
      <c r="Y72" s="63">
        <f t="shared" si="3"/>
        <v>0</v>
      </c>
      <c r="Z72" s="100"/>
      <c r="AA72" s="95"/>
      <c r="AB72" s="95"/>
      <c r="AC72" s="95"/>
      <c r="AD72" s="96"/>
      <c r="AE72" s="97"/>
      <c r="AF72" s="101"/>
    </row>
    <row r="73" spans="1:32" x14ac:dyDescent="0.25">
      <c r="A73" s="32" t="s">
        <v>301</v>
      </c>
      <c r="B73" s="32">
        <v>8</v>
      </c>
      <c r="C73" s="32" t="s">
        <v>456</v>
      </c>
      <c r="D73" s="32" t="s">
        <v>455</v>
      </c>
      <c r="E73" s="95"/>
      <c r="F73" s="95"/>
      <c r="G73" s="95"/>
      <c r="H73" s="95"/>
      <c r="I73" s="32" t="s">
        <v>604</v>
      </c>
      <c r="J73" s="96" t="s">
        <v>603</v>
      </c>
      <c r="K73" s="97"/>
      <c r="L73" s="98"/>
      <c r="M73" s="98"/>
      <c r="N73" s="99"/>
      <c r="O73" s="95"/>
      <c r="P73" s="95"/>
      <c r="Q73" s="95"/>
      <c r="R73" s="63">
        <f t="shared" si="2"/>
        <v>0</v>
      </c>
      <c r="S73" s="95"/>
      <c r="T73" s="95"/>
      <c r="U73" s="95"/>
      <c r="V73" s="95"/>
      <c r="W73" s="100"/>
      <c r="X73" s="95"/>
      <c r="Y73" s="63">
        <f t="shared" si="3"/>
        <v>0</v>
      </c>
      <c r="Z73" s="100"/>
      <c r="AA73" s="95"/>
      <c r="AB73" s="95"/>
      <c r="AC73" s="95"/>
      <c r="AD73" s="96"/>
      <c r="AE73" s="97"/>
      <c r="AF73" s="101"/>
    </row>
    <row r="74" spans="1:32" x14ac:dyDescent="0.25">
      <c r="A74" s="32" t="s">
        <v>302</v>
      </c>
      <c r="B74" s="32">
        <v>8</v>
      </c>
      <c r="C74" s="32" t="s">
        <v>457</v>
      </c>
      <c r="D74" s="32" t="s">
        <v>458</v>
      </c>
      <c r="E74" s="95"/>
      <c r="F74" s="95"/>
      <c r="G74" s="95"/>
      <c r="H74" s="95"/>
      <c r="I74" s="32" t="s">
        <v>602</v>
      </c>
      <c r="J74" s="96" t="s">
        <v>598</v>
      </c>
      <c r="K74" s="97"/>
      <c r="L74" s="98"/>
      <c r="M74" s="98"/>
      <c r="N74" s="99"/>
      <c r="O74" s="95"/>
      <c r="P74" s="95"/>
      <c r="Q74" s="95"/>
      <c r="R74" s="63">
        <f t="shared" si="2"/>
        <v>0</v>
      </c>
      <c r="S74" s="95"/>
      <c r="T74" s="95"/>
      <c r="U74" s="95"/>
      <c r="V74" s="95"/>
      <c r="W74" s="100"/>
      <c r="X74" s="95"/>
      <c r="Y74" s="63">
        <f t="shared" si="3"/>
        <v>0</v>
      </c>
      <c r="Z74" s="100"/>
      <c r="AA74" s="95"/>
      <c r="AB74" s="95"/>
      <c r="AC74" s="95"/>
      <c r="AD74" s="96"/>
      <c r="AE74" s="97"/>
      <c r="AF74" s="101"/>
    </row>
    <row r="75" spans="1:32" x14ac:dyDescent="0.25">
      <c r="A75" s="32" t="s">
        <v>303</v>
      </c>
      <c r="B75" s="32">
        <v>8</v>
      </c>
      <c r="C75" s="32" t="s">
        <v>459</v>
      </c>
      <c r="D75" s="32" t="s">
        <v>457</v>
      </c>
      <c r="E75" s="95"/>
      <c r="F75" s="95"/>
      <c r="G75" s="95"/>
      <c r="H75" s="95"/>
      <c r="I75" s="32" t="s">
        <v>602</v>
      </c>
      <c r="J75" s="96" t="s">
        <v>598</v>
      </c>
      <c r="K75" s="97"/>
      <c r="L75" s="98"/>
      <c r="M75" s="98"/>
      <c r="N75" s="99"/>
      <c r="O75" s="95"/>
      <c r="P75" s="95"/>
      <c r="Q75" s="95"/>
      <c r="R75" s="63">
        <f t="shared" si="2"/>
        <v>0</v>
      </c>
      <c r="S75" s="95"/>
      <c r="T75" s="95"/>
      <c r="U75" s="95"/>
      <c r="V75" s="95"/>
      <c r="W75" s="100"/>
      <c r="X75" s="95"/>
      <c r="Y75" s="63">
        <f t="shared" si="3"/>
        <v>0</v>
      </c>
      <c r="Z75" s="100"/>
      <c r="AA75" s="95"/>
      <c r="AB75" s="95"/>
      <c r="AC75" s="95"/>
      <c r="AD75" s="96"/>
      <c r="AE75" s="97"/>
      <c r="AF75" s="101"/>
    </row>
    <row r="76" spans="1:32" x14ac:dyDescent="0.25">
      <c r="A76" s="32" t="s">
        <v>304</v>
      </c>
      <c r="B76" s="32">
        <v>8</v>
      </c>
      <c r="C76" s="32" t="s">
        <v>460</v>
      </c>
      <c r="D76" s="32" t="s">
        <v>459</v>
      </c>
      <c r="E76" s="95"/>
      <c r="F76" s="95"/>
      <c r="G76" s="95"/>
      <c r="H76" s="95"/>
      <c r="I76" s="32" t="s">
        <v>596</v>
      </c>
      <c r="J76" s="96" t="s">
        <v>588</v>
      </c>
      <c r="K76" s="97"/>
      <c r="L76" s="98"/>
      <c r="M76" s="98"/>
      <c r="N76" s="99"/>
      <c r="O76" s="95"/>
      <c r="P76" s="95"/>
      <c r="Q76" s="95"/>
      <c r="R76" s="63">
        <f t="shared" si="2"/>
        <v>0</v>
      </c>
      <c r="S76" s="95"/>
      <c r="T76" s="95"/>
      <c r="U76" s="95"/>
      <c r="V76" s="95"/>
      <c r="W76" s="100"/>
      <c r="X76" s="95"/>
      <c r="Y76" s="63">
        <f t="shared" si="3"/>
        <v>0</v>
      </c>
      <c r="Z76" s="100"/>
      <c r="AA76" s="95"/>
      <c r="AB76" s="95"/>
      <c r="AC76" s="95"/>
      <c r="AD76" s="96"/>
      <c r="AE76" s="97"/>
      <c r="AF76" s="101"/>
    </row>
    <row r="77" spans="1:32" x14ac:dyDescent="0.25">
      <c r="A77" s="32" t="s">
        <v>305</v>
      </c>
      <c r="B77" s="32">
        <v>8</v>
      </c>
      <c r="C77" s="32" t="s">
        <v>461</v>
      </c>
      <c r="D77" s="32" t="s">
        <v>460</v>
      </c>
      <c r="E77" s="95"/>
      <c r="F77" s="95"/>
      <c r="G77" s="95"/>
      <c r="H77" s="95"/>
      <c r="I77" s="32" t="s">
        <v>596</v>
      </c>
      <c r="J77" s="96" t="s">
        <v>588</v>
      </c>
      <c r="K77" s="97"/>
      <c r="L77" s="98"/>
      <c r="M77" s="98"/>
      <c r="N77" s="99"/>
      <c r="O77" s="95"/>
      <c r="P77" s="95"/>
      <c r="Q77" s="95"/>
      <c r="R77" s="63">
        <f t="shared" si="2"/>
        <v>0</v>
      </c>
      <c r="S77" s="95"/>
      <c r="T77" s="95"/>
      <c r="U77" s="95"/>
      <c r="V77" s="95"/>
      <c r="W77" s="100"/>
      <c r="X77" s="95"/>
      <c r="Y77" s="63">
        <f t="shared" si="3"/>
        <v>0</v>
      </c>
      <c r="Z77" s="100"/>
      <c r="AA77" s="95"/>
      <c r="AB77" s="95"/>
      <c r="AC77" s="95"/>
      <c r="AD77" s="96"/>
      <c r="AE77" s="97"/>
      <c r="AF77" s="101"/>
    </row>
    <row r="78" spans="1:32" x14ac:dyDescent="0.25">
      <c r="A78" s="32" t="s">
        <v>306</v>
      </c>
      <c r="B78" s="32">
        <v>8</v>
      </c>
      <c r="C78" s="32" t="s">
        <v>462</v>
      </c>
      <c r="D78" s="32" t="s">
        <v>461</v>
      </c>
      <c r="E78" s="95"/>
      <c r="F78" s="95"/>
      <c r="G78" s="95"/>
      <c r="H78" s="95"/>
      <c r="I78" s="32" t="s">
        <v>596</v>
      </c>
      <c r="J78" s="96" t="s">
        <v>588</v>
      </c>
      <c r="K78" s="97"/>
      <c r="L78" s="98"/>
      <c r="M78" s="98"/>
      <c r="N78" s="99"/>
      <c r="O78" s="95"/>
      <c r="P78" s="95"/>
      <c r="Q78" s="95"/>
      <c r="R78" s="63">
        <f t="shared" si="2"/>
        <v>0</v>
      </c>
      <c r="S78" s="95"/>
      <c r="T78" s="95"/>
      <c r="U78" s="95"/>
      <c r="V78" s="95"/>
      <c r="W78" s="100"/>
      <c r="X78" s="95"/>
      <c r="Y78" s="63">
        <f t="shared" si="3"/>
        <v>0</v>
      </c>
      <c r="Z78" s="100"/>
      <c r="AA78" s="95"/>
      <c r="AB78" s="95"/>
      <c r="AC78" s="95"/>
      <c r="AD78" s="96"/>
      <c r="AE78" s="97"/>
      <c r="AF78" s="101"/>
    </row>
    <row r="79" spans="1:32" x14ac:dyDescent="0.25">
      <c r="A79" s="32" t="s">
        <v>307</v>
      </c>
      <c r="B79" s="32">
        <v>8</v>
      </c>
      <c r="C79" s="32" t="s">
        <v>463</v>
      </c>
      <c r="D79" s="32" t="s">
        <v>369</v>
      </c>
      <c r="E79" s="95"/>
      <c r="F79" s="95"/>
      <c r="G79" s="95"/>
      <c r="H79" s="95"/>
      <c r="I79" s="32" t="s">
        <v>602</v>
      </c>
      <c r="J79" s="96" t="s">
        <v>598</v>
      </c>
      <c r="K79" s="97"/>
      <c r="L79" s="98"/>
      <c r="M79" s="98"/>
      <c r="N79" s="99"/>
      <c r="O79" s="95"/>
      <c r="P79" s="95"/>
      <c r="Q79" s="95"/>
      <c r="R79" s="63">
        <f t="shared" si="2"/>
        <v>0</v>
      </c>
      <c r="S79" s="95"/>
      <c r="T79" s="95"/>
      <c r="U79" s="95"/>
      <c r="V79" s="95"/>
      <c r="W79" s="100"/>
      <c r="X79" s="95"/>
      <c r="Y79" s="63">
        <f t="shared" si="3"/>
        <v>0</v>
      </c>
      <c r="Z79" s="100"/>
      <c r="AA79" s="95"/>
      <c r="AB79" s="95"/>
      <c r="AC79" s="95"/>
      <c r="AD79" s="96"/>
      <c r="AE79" s="97"/>
      <c r="AF79" s="101"/>
    </row>
    <row r="80" spans="1:32" x14ac:dyDescent="0.25">
      <c r="A80" s="32" t="s">
        <v>308</v>
      </c>
      <c r="B80" s="32">
        <v>8</v>
      </c>
      <c r="C80" s="32" t="s">
        <v>464</v>
      </c>
      <c r="D80" s="32" t="s">
        <v>463</v>
      </c>
      <c r="E80" s="95"/>
      <c r="F80" s="95"/>
      <c r="G80" s="95"/>
      <c r="H80" s="95"/>
      <c r="I80" s="32" t="s">
        <v>602</v>
      </c>
      <c r="J80" s="96" t="s">
        <v>598</v>
      </c>
      <c r="K80" s="97"/>
      <c r="L80" s="98"/>
      <c r="M80" s="98"/>
      <c r="N80" s="99"/>
      <c r="O80" s="95"/>
      <c r="P80" s="95"/>
      <c r="Q80" s="95"/>
      <c r="R80" s="63">
        <f t="shared" si="2"/>
        <v>0</v>
      </c>
      <c r="S80" s="95"/>
      <c r="T80" s="95"/>
      <c r="U80" s="95"/>
      <c r="V80" s="95"/>
      <c r="W80" s="100"/>
      <c r="X80" s="95"/>
      <c r="Y80" s="63">
        <f t="shared" si="3"/>
        <v>0</v>
      </c>
      <c r="Z80" s="100"/>
      <c r="AA80" s="95"/>
      <c r="AB80" s="95"/>
      <c r="AC80" s="95"/>
      <c r="AD80" s="96"/>
      <c r="AE80" s="97"/>
      <c r="AF80" s="101"/>
    </row>
    <row r="81" spans="1:32" x14ac:dyDescent="0.25">
      <c r="A81" s="32" t="s">
        <v>309</v>
      </c>
      <c r="B81" s="32">
        <v>8</v>
      </c>
      <c r="C81" s="32" t="s">
        <v>465</v>
      </c>
      <c r="D81" s="32" t="s">
        <v>464</v>
      </c>
      <c r="E81" s="95"/>
      <c r="F81" s="95"/>
      <c r="G81" s="95"/>
      <c r="H81" s="95"/>
      <c r="I81" s="32" t="s">
        <v>602</v>
      </c>
      <c r="J81" s="96" t="s">
        <v>598</v>
      </c>
      <c r="K81" s="97"/>
      <c r="L81" s="98"/>
      <c r="M81" s="98"/>
      <c r="N81" s="99"/>
      <c r="O81" s="95"/>
      <c r="P81" s="95"/>
      <c r="Q81" s="95"/>
      <c r="R81" s="63">
        <f t="shared" si="2"/>
        <v>0</v>
      </c>
      <c r="S81" s="95"/>
      <c r="T81" s="95"/>
      <c r="U81" s="95"/>
      <c r="V81" s="95"/>
      <c r="W81" s="100"/>
      <c r="X81" s="95"/>
      <c r="Y81" s="63">
        <f t="shared" si="3"/>
        <v>0</v>
      </c>
      <c r="Z81" s="100"/>
      <c r="AA81" s="95"/>
      <c r="AB81" s="95"/>
      <c r="AC81" s="95"/>
      <c r="AD81" s="96"/>
      <c r="AE81" s="97"/>
      <c r="AF81" s="101"/>
    </row>
    <row r="82" spans="1:32" x14ac:dyDescent="0.25">
      <c r="A82" s="32" t="s">
        <v>310</v>
      </c>
      <c r="B82" s="32">
        <v>8</v>
      </c>
      <c r="C82" s="32" t="s">
        <v>466</v>
      </c>
      <c r="D82" s="32" t="s">
        <v>465</v>
      </c>
      <c r="E82" s="95"/>
      <c r="F82" s="95"/>
      <c r="G82" s="95"/>
      <c r="H82" s="95"/>
      <c r="I82" s="32" t="s">
        <v>602</v>
      </c>
      <c r="J82" s="96" t="s">
        <v>598</v>
      </c>
      <c r="K82" s="97"/>
      <c r="L82" s="98"/>
      <c r="M82" s="98"/>
      <c r="N82" s="99"/>
      <c r="O82" s="95"/>
      <c r="P82" s="95"/>
      <c r="Q82" s="95"/>
      <c r="R82" s="63">
        <f t="shared" si="2"/>
        <v>0</v>
      </c>
      <c r="S82" s="95"/>
      <c r="T82" s="95"/>
      <c r="U82" s="95"/>
      <c r="V82" s="95"/>
      <c r="W82" s="100"/>
      <c r="X82" s="95"/>
      <c r="Y82" s="63">
        <f t="shared" si="3"/>
        <v>0</v>
      </c>
      <c r="Z82" s="100"/>
      <c r="AA82" s="95"/>
      <c r="AB82" s="95"/>
      <c r="AC82" s="95"/>
      <c r="AD82" s="96"/>
      <c r="AE82" s="97"/>
      <c r="AF82" s="101"/>
    </row>
    <row r="83" spans="1:32" x14ac:dyDescent="0.25">
      <c r="A83" s="32" t="s">
        <v>311</v>
      </c>
      <c r="B83" s="32">
        <v>8</v>
      </c>
      <c r="C83" s="32" t="s">
        <v>467</v>
      </c>
      <c r="D83" s="32" t="s">
        <v>457</v>
      </c>
      <c r="E83" s="95"/>
      <c r="F83" s="95"/>
      <c r="G83" s="95"/>
      <c r="H83" s="95"/>
      <c r="I83" s="32" t="s">
        <v>604</v>
      </c>
      <c r="J83" s="96" t="s">
        <v>603</v>
      </c>
      <c r="K83" s="97"/>
      <c r="L83" s="98"/>
      <c r="M83" s="98"/>
      <c r="N83" s="99"/>
      <c r="O83" s="95"/>
      <c r="P83" s="95"/>
      <c r="Q83" s="95"/>
      <c r="R83" s="63">
        <f t="shared" si="2"/>
        <v>0</v>
      </c>
      <c r="S83" s="95"/>
      <c r="T83" s="95"/>
      <c r="U83" s="95"/>
      <c r="V83" s="95"/>
      <c r="W83" s="100"/>
      <c r="X83" s="95"/>
      <c r="Y83" s="63">
        <f t="shared" si="3"/>
        <v>0</v>
      </c>
      <c r="Z83" s="100"/>
      <c r="AA83" s="95"/>
      <c r="AB83" s="95"/>
      <c r="AC83" s="95"/>
      <c r="AD83" s="96"/>
      <c r="AE83" s="97"/>
      <c r="AF83" s="101"/>
    </row>
    <row r="84" spans="1:32" x14ac:dyDescent="0.25">
      <c r="A84" s="32" t="s">
        <v>312</v>
      </c>
      <c r="B84" s="32">
        <v>8</v>
      </c>
      <c r="C84" s="32" t="s">
        <v>468</v>
      </c>
      <c r="D84" s="32" t="s">
        <v>407</v>
      </c>
      <c r="E84" s="95"/>
      <c r="F84" s="95"/>
      <c r="G84" s="95"/>
      <c r="H84" s="95"/>
      <c r="I84" s="32" t="s">
        <v>599</v>
      </c>
      <c r="J84" s="96" t="s">
        <v>598</v>
      </c>
      <c r="K84" s="97"/>
      <c r="L84" s="98"/>
      <c r="M84" s="98"/>
      <c r="N84" s="99"/>
      <c r="O84" s="95"/>
      <c r="P84" s="95"/>
      <c r="Q84" s="95"/>
      <c r="R84" s="63">
        <f t="shared" si="2"/>
        <v>0</v>
      </c>
      <c r="S84" s="95"/>
      <c r="T84" s="95"/>
      <c r="U84" s="95"/>
      <c r="V84" s="95"/>
      <c r="W84" s="100"/>
      <c r="X84" s="95"/>
      <c r="Y84" s="63">
        <f t="shared" si="3"/>
        <v>0</v>
      </c>
      <c r="Z84" s="100"/>
      <c r="AA84" s="95"/>
      <c r="AB84" s="95"/>
      <c r="AC84" s="95"/>
      <c r="AD84" s="96"/>
      <c r="AE84" s="97"/>
      <c r="AF84" s="101"/>
    </row>
    <row r="85" spans="1:32" x14ac:dyDescent="0.25">
      <c r="A85" s="32" t="s">
        <v>313</v>
      </c>
      <c r="B85" s="32">
        <v>8</v>
      </c>
      <c r="C85" s="32" t="s">
        <v>469</v>
      </c>
      <c r="D85" s="32" t="s">
        <v>468</v>
      </c>
      <c r="E85" s="95"/>
      <c r="F85" s="95"/>
      <c r="G85" s="95"/>
      <c r="H85" s="95"/>
      <c r="I85" s="32" t="s">
        <v>599</v>
      </c>
      <c r="J85" s="96" t="s">
        <v>598</v>
      </c>
      <c r="K85" s="97"/>
      <c r="L85" s="98"/>
      <c r="M85" s="98"/>
      <c r="N85" s="99"/>
      <c r="O85" s="95"/>
      <c r="P85" s="95"/>
      <c r="Q85" s="95"/>
      <c r="R85" s="63">
        <f t="shared" si="2"/>
        <v>0</v>
      </c>
      <c r="S85" s="95"/>
      <c r="T85" s="95"/>
      <c r="U85" s="95"/>
      <c r="V85" s="95"/>
      <c r="W85" s="100"/>
      <c r="X85" s="95"/>
      <c r="Y85" s="63">
        <f t="shared" si="3"/>
        <v>0</v>
      </c>
      <c r="Z85" s="100"/>
      <c r="AA85" s="95"/>
      <c r="AB85" s="95"/>
      <c r="AC85" s="95"/>
      <c r="AD85" s="96"/>
      <c r="AE85" s="97"/>
      <c r="AF85" s="101"/>
    </row>
    <row r="86" spans="1:32" x14ac:dyDescent="0.25">
      <c r="A86" s="32" t="s">
        <v>314</v>
      </c>
      <c r="B86" s="32">
        <v>8</v>
      </c>
      <c r="C86" s="32" t="s">
        <v>470</v>
      </c>
      <c r="D86" s="32" t="s">
        <v>469</v>
      </c>
      <c r="E86" s="95"/>
      <c r="F86" s="95"/>
      <c r="G86" s="95"/>
      <c r="H86" s="95"/>
      <c r="I86" s="32" t="s">
        <v>599</v>
      </c>
      <c r="J86" s="96" t="s">
        <v>598</v>
      </c>
      <c r="K86" s="97"/>
      <c r="L86" s="98"/>
      <c r="M86" s="98"/>
      <c r="N86" s="99"/>
      <c r="O86" s="95"/>
      <c r="P86" s="95"/>
      <c r="Q86" s="95"/>
      <c r="R86" s="63">
        <f t="shared" si="2"/>
        <v>0</v>
      </c>
      <c r="S86" s="95"/>
      <c r="T86" s="95"/>
      <c r="U86" s="95"/>
      <c r="V86" s="95"/>
      <c r="W86" s="100"/>
      <c r="X86" s="95"/>
      <c r="Y86" s="63">
        <f t="shared" si="3"/>
        <v>0</v>
      </c>
      <c r="Z86" s="100"/>
      <c r="AA86" s="95"/>
      <c r="AB86" s="95"/>
      <c r="AC86" s="95"/>
      <c r="AD86" s="96"/>
      <c r="AE86" s="97"/>
      <c r="AF86" s="101"/>
    </row>
    <row r="87" spans="1:32" x14ac:dyDescent="0.25">
      <c r="A87" s="32" t="s">
        <v>315</v>
      </c>
      <c r="B87" s="32">
        <v>8</v>
      </c>
      <c r="C87" s="32" t="s">
        <v>471</v>
      </c>
      <c r="D87" s="32" t="s">
        <v>407</v>
      </c>
      <c r="E87" s="95"/>
      <c r="F87" s="95"/>
      <c r="G87" s="95"/>
      <c r="H87" s="95"/>
      <c r="I87" s="32" t="s">
        <v>590</v>
      </c>
      <c r="J87" s="96" t="s">
        <v>588</v>
      </c>
      <c r="K87" s="97"/>
      <c r="L87" s="98"/>
      <c r="M87" s="98"/>
      <c r="N87" s="99"/>
      <c r="O87" s="95"/>
      <c r="P87" s="95"/>
      <c r="Q87" s="95"/>
      <c r="R87" s="63">
        <f t="shared" si="2"/>
        <v>0</v>
      </c>
      <c r="S87" s="95"/>
      <c r="T87" s="95"/>
      <c r="U87" s="95"/>
      <c r="V87" s="95"/>
      <c r="W87" s="100"/>
      <c r="X87" s="95"/>
      <c r="Y87" s="63">
        <f t="shared" si="3"/>
        <v>0</v>
      </c>
      <c r="Z87" s="100"/>
      <c r="AA87" s="95"/>
      <c r="AB87" s="95"/>
      <c r="AC87" s="95"/>
      <c r="AD87" s="96"/>
      <c r="AE87" s="97"/>
      <c r="AF87" s="101"/>
    </row>
    <row r="88" spans="1:32" x14ac:dyDescent="0.25">
      <c r="A88" s="32" t="s">
        <v>316</v>
      </c>
      <c r="B88" s="32">
        <v>8</v>
      </c>
      <c r="C88" s="32" t="s">
        <v>472</v>
      </c>
      <c r="D88" s="32" t="s">
        <v>471</v>
      </c>
      <c r="E88" s="95"/>
      <c r="F88" s="95"/>
      <c r="G88" s="95"/>
      <c r="H88" s="95"/>
      <c r="I88" s="32" t="s">
        <v>599</v>
      </c>
      <c r="J88" s="96" t="s">
        <v>598</v>
      </c>
      <c r="K88" s="97"/>
      <c r="L88" s="98"/>
      <c r="M88" s="98"/>
      <c r="N88" s="99"/>
      <c r="O88" s="95"/>
      <c r="P88" s="95"/>
      <c r="Q88" s="95"/>
      <c r="R88" s="63">
        <f t="shared" si="2"/>
        <v>0</v>
      </c>
      <c r="S88" s="95"/>
      <c r="T88" s="95"/>
      <c r="U88" s="95"/>
      <c r="V88" s="95"/>
      <c r="W88" s="100"/>
      <c r="X88" s="95"/>
      <c r="Y88" s="63">
        <f t="shared" si="3"/>
        <v>0</v>
      </c>
      <c r="Z88" s="100"/>
      <c r="AA88" s="95"/>
      <c r="AB88" s="95"/>
      <c r="AC88" s="95"/>
      <c r="AD88" s="96"/>
      <c r="AE88" s="97"/>
      <c r="AF88" s="101"/>
    </row>
    <row r="89" spans="1:32" x14ac:dyDescent="0.25">
      <c r="A89" s="32" t="s">
        <v>362</v>
      </c>
      <c r="B89" s="32">
        <v>8</v>
      </c>
      <c r="C89" s="32" t="s">
        <v>473</v>
      </c>
      <c r="D89" s="32" t="s">
        <v>474</v>
      </c>
      <c r="E89" s="95"/>
      <c r="F89" s="95"/>
      <c r="G89" s="95"/>
      <c r="H89" s="95"/>
      <c r="I89" s="32" t="s">
        <v>599</v>
      </c>
      <c r="J89" s="96" t="s">
        <v>598</v>
      </c>
      <c r="K89" s="97"/>
      <c r="L89" s="98"/>
      <c r="M89" s="98"/>
      <c r="N89" s="99"/>
      <c r="O89" s="95"/>
      <c r="P89" s="95"/>
      <c r="Q89" s="95"/>
      <c r="R89" s="63">
        <f t="shared" si="2"/>
        <v>0</v>
      </c>
      <c r="S89" s="95"/>
      <c r="T89" s="95"/>
      <c r="U89" s="95"/>
      <c r="V89" s="95"/>
      <c r="W89" s="100"/>
      <c r="X89" s="95"/>
      <c r="Y89" s="63">
        <f t="shared" si="3"/>
        <v>0</v>
      </c>
      <c r="Z89" s="100"/>
      <c r="AA89" s="95"/>
      <c r="AB89" s="95"/>
      <c r="AC89" s="95"/>
      <c r="AD89" s="96"/>
      <c r="AE89" s="97"/>
      <c r="AF89" s="101"/>
    </row>
    <row r="90" spans="1:32" x14ac:dyDescent="0.25">
      <c r="A90" s="32" t="s">
        <v>363</v>
      </c>
      <c r="B90" s="32">
        <v>8</v>
      </c>
      <c r="C90" s="32" t="s">
        <v>475</v>
      </c>
      <c r="D90" s="32" t="s">
        <v>473</v>
      </c>
      <c r="E90" s="95"/>
      <c r="F90" s="95"/>
      <c r="G90" s="95"/>
      <c r="H90" s="95"/>
      <c r="I90" s="32" t="s">
        <v>596</v>
      </c>
      <c r="J90" s="96" t="s">
        <v>588</v>
      </c>
      <c r="K90" s="97"/>
      <c r="L90" s="98"/>
      <c r="M90" s="98"/>
      <c r="N90" s="99"/>
      <c r="O90" s="95"/>
      <c r="P90" s="95"/>
      <c r="Q90" s="95"/>
      <c r="R90" s="63">
        <f t="shared" si="2"/>
        <v>0</v>
      </c>
      <c r="S90" s="95"/>
      <c r="T90" s="95"/>
      <c r="U90" s="95"/>
      <c r="V90" s="95"/>
      <c r="W90" s="100"/>
      <c r="X90" s="95"/>
      <c r="Y90" s="63">
        <f t="shared" si="3"/>
        <v>0</v>
      </c>
      <c r="Z90" s="100"/>
      <c r="AA90" s="95"/>
      <c r="AB90" s="95"/>
      <c r="AC90" s="95"/>
      <c r="AD90" s="96"/>
      <c r="AE90" s="97"/>
      <c r="AF90" s="101"/>
    </row>
    <row r="91" spans="1:32" x14ac:dyDescent="0.25">
      <c r="A91" s="32" t="s">
        <v>364</v>
      </c>
      <c r="B91" s="32">
        <v>8</v>
      </c>
      <c r="C91" s="32" t="s">
        <v>476</v>
      </c>
      <c r="D91" s="32" t="s">
        <v>477</v>
      </c>
      <c r="E91" s="95"/>
      <c r="F91" s="95"/>
      <c r="G91" s="95"/>
      <c r="H91" s="95"/>
      <c r="I91" s="32" t="s">
        <v>596</v>
      </c>
      <c r="J91" s="96" t="s">
        <v>588</v>
      </c>
      <c r="K91" s="97"/>
      <c r="L91" s="98"/>
      <c r="M91" s="98"/>
      <c r="N91" s="99"/>
      <c r="O91" s="95"/>
      <c r="P91" s="95"/>
      <c r="Q91" s="95"/>
      <c r="R91" s="63">
        <f t="shared" si="2"/>
        <v>0</v>
      </c>
      <c r="S91" s="95"/>
      <c r="T91" s="95"/>
      <c r="U91" s="95"/>
      <c r="V91" s="95"/>
      <c r="W91" s="100"/>
      <c r="X91" s="95"/>
      <c r="Y91" s="63">
        <f t="shared" si="3"/>
        <v>0</v>
      </c>
      <c r="Z91" s="100"/>
      <c r="AA91" s="95"/>
      <c r="AB91" s="95"/>
      <c r="AC91" s="95"/>
      <c r="AD91" s="96"/>
      <c r="AE91" s="97"/>
      <c r="AF91" s="101"/>
    </row>
    <row r="92" spans="1:32" x14ac:dyDescent="0.25">
      <c r="A92" s="32" t="s">
        <v>365</v>
      </c>
      <c r="B92" s="32">
        <v>8</v>
      </c>
      <c r="C92" s="32" t="s">
        <v>478</v>
      </c>
      <c r="D92" s="32" t="s">
        <v>409</v>
      </c>
      <c r="E92" s="95"/>
      <c r="F92" s="95"/>
      <c r="G92" s="95"/>
      <c r="H92" s="95"/>
      <c r="I92" s="32" t="s">
        <v>596</v>
      </c>
      <c r="J92" s="96" t="s">
        <v>588</v>
      </c>
      <c r="K92" s="97"/>
      <c r="L92" s="98"/>
      <c r="M92" s="98"/>
      <c r="N92" s="99"/>
      <c r="O92" s="95"/>
      <c r="P92" s="95"/>
      <c r="Q92" s="95"/>
      <c r="R92" s="63">
        <f t="shared" si="2"/>
        <v>0</v>
      </c>
      <c r="S92" s="95"/>
      <c r="T92" s="95"/>
      <c r="U92" s="95"/>
      <c r="V92" s="95"/>
      <c r="W92" s="100"/>
      <c r="X92" s="95"/>
      <c r="Y92" s="63">
        <f t="shared" si="3"/>
        <v>0</v>
      </c>
      <c r="Z92" s="100"/>
      <c r="AA92" s="95"/>
      <c r="AB92" s="95"/>
      <c r="AC92" s="95"/>
      <c r="AD92" s="96"/>
      <c r="AE92" s="97"/>
      <c r="AF92" s="101"/>
    </row>
    <row r="93" spans="1:32" x14ac:dyDescent="0.25">
      <c r="A93" s="32" t="s">
        <v>366</v>
      </c>
      <c r="B93" s="32">
        <v>8</v>
      </c>
      <c r="C93" s="32" t="s">
        <v>479</v>
      </c>
      <c r="D93" s="32" t="s">
        <v>474</v>
      </c>
      <c r="E93" s="95"/>
      <c r="F93" s="95"/>
      <c r="G93" s="95"/>
      <c r="H93" s="95"/>
      <c r="I93" s="32" t="s">
        <v>596</v>
      </c>
      <c r="J93" s="96" t="s">
        <v>588</v>
      </c>
      <c r="K93" s="97"/>
      <c r="L93" s="98"/>
      <c r="M93" s="98"/>
      <c r="N93" s="99"/>
      <c r="O93" s="95"/>
      <c r="P93" s="95"/>
      <c r="Q93" s="95"/>
      <c r="R93" s="63">
        <f t="shared" si="2"/>
        <v>0</v>
      </c>
      <c r="S93" s="95"/>
      <c r="T93" s="95"/>
      <c r="U93" s="95"/>
      <c r="V93" s="95"/>
      <c r="W93" s="100"/>
      <c r="X93" s="95"/>
      <c r="Y93" s="63">
        <f t="shared" si="3"/>
        <v>0</v>
      </c>
      <c r="Z93" s="100"/>
      <c r="AA93" s="95"/>
      <c r="AB93" s="95"/>
      <c r="AC93" s="95"/>
      <c r="AD93" s="96"/>
      <c r="AE93" s="97"/>
      <c r="AF93" s="101"/>
    </row>
    <row r="94" spans="1:32" x14ac:dyDescent="0.25">
      <c r="A94" s="32" t="s">
        <v>367</v>
      </c>
      <c r="B94" s="32">
        <v>8</v>
      </c>
      <c r="C94" s="32" t="s">
        <v>480</v>
      </c>
      <c r="D94" s="32" t="s">
        <v>401</v>
      </c>
      <c r="E94" s="95"/>
      <c r="F94" s="95"/>
      <c r="G94" s="95"/>
      <c r="H94" s="95"/>
      <c r="I94" s="32" t="s">
        <v>602</v>
      </c>
      <c r="J94" s="96" t="s">
        <v>598</v>
      </c>
      <c r="K94" s="97"/>
      <c r="L94" s="98"/>
      <c r="M94" s="98"/>
      <c r="N94" s="99"/>
      <c r="O94" s="95"/>
      <c r="P94" s="95"/>
      <c r="Q94" s="95"/>
      <c r="R94" s="63">
        <f t="shared" si="2"/>
        <v>0</v>
      </c>
      <c r="S94" s="95"/>
      <c r="T94" s="95"/>
      <c r="U94" s="95"/>
      <c r="V94" s="95"/>
      <c r="W94" s="100"/>
      <c r="X94" s="95"/>
      <c r="Y94" s="63">
        <f t="shared" si="3"/>
        <v>0</v>
      </c>
      <c r="Z94" s="100"/>
      <c r="AA94" s="95"/>
      <c r="AB94" s="95"/>
      <c r="AC94" s="95"/>
      <c r="AD94" s="96"/>
      <c r="AE94" s="97"/>
      <c r="AF94" s="101"/>
    </row>
    <row r="95" spans="1:32" x14ac:dyDescent="0.25">
      <c r="A95" s="32" t="s">
        <v>827</v>
      </c>
      <c r="B95" s="32">
        <v>8</v>
      </c>
      <c r="C95" s="32" t="s">
        <v>174</v>
      </c>
      <c r="D95" s="32" t="s">
        <v>175</v>
      </c>
      <c r="E95" s="95"/>
      <c r="F95" s="95"/>
      <c r="G95" s="95"/>
      <c r="H95" s="95"/>
      <c r="I95" s="32" t="s">
        <v>855</v>
      </c>
      <c r="J95" s="96" t="s">
        <v>853</v>
      </c>
      <c r="K95" s="97"/>
      <c r="L95" s="98"/>
      <c r="M95" s="98"/>
      <c r="N95" s="99"/>
      <c r="O95" s="95"/>
      <c r="P95" s="95"/>
      <c r="Q95" s="95"/>
      <c r="R95" s="63">
        <f t="shared" si="2"/>
        <v>0</v>
      </c>
      <c r="S95" s="95"/>
      <c r="T95" s="95"/>
      <c r="U95" s="95"/>
      <c r="V95" s="95"/>
      <c r="W95" s="100"/>
      <c r="X95" s="95"/>
      <c r="Y95" s="63">
        <f t="shared" si="3"/>
        <v>0</v>
      </c>
      <c r="Z95" s="100"/>
      <c r="AA95" s="95"/>
      <c r="AB95" s="95"/>
      <c r="AC95" s="95"/>
      <c r="AD95" s="96"/>
      <c r="AE95" s="97"/>
      <c r="AF95" s="101"/>
    </row>
    <row r="96" spans="1:32" x14ac:dyDescent="0.25">
      <c r="A96" s="32" t="s">
        <v>828</v>
      </c>
      <c r="B96" s="32">
        <v>18</v>
      </c>
      <c r="C96" s="32" t="s">
        <v>176</v>
      </c>
      <c r="D96" s="32" t="s">
        <v>175</v>
      </c>
      <c r="E96" s="95"/>
      <c r="F96" s="95"/>
      <c r="G96" s="95"/>
      <c r="H96" s="95"/>
      <c r="I96" s="32" t="s">
        <v>856</v>
      </c>
      <c r="J96" s="96" t="s">
        <v>588</v>
      </c>
      <c r="K96" s="97"/>
      <c r="L96" s="98"/>
      <c r="M96" s="98"/>
      <c r="N96" s="99"/>
      <c r="O96" s="95"/>
      <c r="P96" s="95"/>
      <c r="Q96" s="95"/>
      <c r="R96" s="63">
        <f t="shared" si="2"/>
        <v>0</v>
      </c>
      <c r="S96" s="95"/>
      <c r="T96" s="95"/>
      <c r="U96" s="95"/>
      <c r="V96" s="95"/>
      <c r="W96" s="100"/>
      <c r="X96" s="95"/>
      <c r="Y96" s="63">
        <f t="shared" si="3"/>
        <v>0</v>
      </c>
      <c r="Z96" s="100"/>
      <c r="AA96" s="95"/>
      <c r="AB96" s="95"/>
      <c r="AC96" s="95"/>
      <c r="AD96" s="96"/>
      <c r="AE96" s="97"/>
      <c r="AF96" s="101"/>
    </row>
    <row r="97" spans="1:32" x14ac:dyDescent="0.25">
      <c r="A97" s="95" t="s">
        <v>829</v>
      </c>
      <c r="B97" s="95">
        <v>8</v>
      </c>
      <c r="C97" s="95" t="s">
        <v>177</v>
      </c>
      <c r="D97" s="95" t="s">
        <v>174</v>
      </c>
      <c r="E97" s="95"/>
      <c r="F97" s="95"/>
      <c r="G97" s="95"/>
      <c r="H97" s="95"/>
      <c r="I97" s="32" t="s">
        <v>856</v>
      </c>
      <c r="J97" s="96" t="s">
        <v>588</v>
      </c>
      <c r="K97" s="97"/>
      <c r="L97" s="98"/>
      <c r="M97" s="98"/>
      <c r="N97" s="99"/>
      <c r="O97" s="95"/>
      <c r="P97" s="95"/>
      <c r="Q97" s="95"/>
      <c r="R97" s="63">
        <f t="shared" si="2"/>
        <v>0</v>
      </c>
      <c r="S97" s="95"/>
      <c r="T97" s="95"/>
      <c r="U97" s="95"/>
      <c r="V97" s="95"/>
      <c r="W97" s="100"/>
      <c r="X97" s="95"/>
      <c r="Y97" s="63">
        <f t="shared" si="3"/>
        <v>0</v>
      </c>
      <c r="Z97" s="100"/>
      <c r="AA97" s="95"/>
      <c r="AB97" s="95"/>
      <c r="AC97" s="95"/>
      <c r="AD97" s="96"/>
      <c r="AE97" s="97"/>
      <c r="AF97" s="101"/>
    </row>
    <row r="98" spans="1:32" x14ac:dyDescent="0.25">
      <c r="A98" s="95" t="s">
        <v>830</v>
      </c>
      <c r="B98" s="95">
        <v>18</v>
      </c>
      <c r="C98" s="95" t="s">
        <v>178</v>
      </c>
      <c r="D98" s="95" t="s">
        <v>176</v>
      </c>
      <c r="E98" s="95"/>
      <c r="F98" s="95"/>
      <c r="G98" s="95"/>
      <c r="H98" s="95"/>
      <c r="I98" s="32" t="s">
        <v>856</v>
      </c>
      <c r="J98" s="96" t="s">
        <v>588</v>
      </c>
      <c r="K98" s="97"/>
      <c r="L98" s="98"/>
      <c r="M98" s="98"/>
      <c r="N98" s="99"/>
      <c r="O98" s="95"/>
      <c r="P98" s="95"/>
      <c r="Q98" s="95"/>
      <c r="R98" s="63">
        <f t="shared" si="2"/>
        <v>0</v>
      </c>
      <c r="S98" s="95"/>
      <c r="T98" s="95"/>
      <c r="U98" s="95"/>
      <c r="V98" s="95"/>
      <c r="W98" s="100"/>
      <c r="X98" s="95"/>
      <c r="Y98" s="63">
        <f t="shared" si="3"/>
        <v>0</v>
      </c>
      <c r="Z98" s="100"/>
      <c r="AA98" s="95"/>
      <c r="AB98" s="95"/>
      <c r="AC98" s="95"/>
      <c r="AD98" s="96"/>
      <c r="AE98" s="97"/>
      <c r="AF98" s="101"/>
    </row>
    <row r="99" spans="1:32" x14ac:dyDescent="0.25">
      <c r="A99" s="95" t="s">
        <v>831</v>
      </c>
      <c r="B99" s="95">
        <v>15</v>
      </c>
      <c r="C99" s="95" t="s">
        <v>179</v>
      </c>
      <c r="D99" s="95" t="s">
        <v>178</v>
      </c>
      <c r="E99" s="95"/>
      <c r="F99" s="95"/>
      <c r="G99" s="95"/>
      <c r="H99" s="95"/>
      <c r="I99" s="32" t="s">
        <v>856</v>
      </c>
      <c r="J99" s="96" t="s">
        <v>588</v>
      </c>
      <c r="K99" s="97"/>
      <c r="L99" s="98"/>
      <c r="M99" s="98"/>
      <c r="N99" s="99"/>
      <c r="O99" s="95"/>
      <c r="P99" s="95"/>
      <c r="Q99" s="95"/>
      <c r="R99" s="63">
        <f t="shared" si="2"/>
        <v>0</v>
      </c>
      <c r="S99" s="95"/>
      <c r="T99" s="95"/>
      <c r="U99" s="95"/>
      <c r="V99" s="95"/>
      <c r="W99" s="100"/>
      <c r="X99" s="95"/>
      <c r="Y99" s="63">
        <f t="shared" si="3"/>
        <v>0</v>
      </c>
      <c r="Z99" s="100"/>
      <c r="AA99" s="95"/>
      <c r="AB99" s="95"/>
      <c r="AC99" s="95"/>
      <c r="AD99" s="96"/>
      <c r="AE99" s="97"/>
      <c r="AF99" s="101"/>
    </row>
    <row r="100" spans="1:32" x14ac:dyDescent="0.25">
      <c r="A100" s="95" t="s">
        <v>832</v>
      </c>
      <c r="B100" s="95">
        <v>8</v>
      </c>
      <c r="C100" s="95" t="s">
        <v>180</v>
      </c>
      <c r="D100" s="95" t="s">
        <v>177</v>
      </c>
      <c r="E100" s="95"/>
      <c r="F100" s="95"/>
      <c r="G100" s="95"/>
      <c r="H100" s="95"/>
      <c r="I100" s="95" t="s">
        <v>319</v>
      </c>
      <c r="J100" s="96" t="s">
        <v>588</v>
      </c>
      <c r="K100" s="97"/>
      <c r="L100" s="98"/>
      <c r="M100" s="98"/>
      <c r="N100" s="99"/>
      <c r="O100" s="95"/>
      <c r="P100" s="95"/>
      <c r="Q100" s="95"/>
      <c r="R100" s="63">
        <f t="shared" si="2"/>
        <v>0</v>
      </c>
      <c r="S100" s="95"/>
      <c r="T100" s="95"/>
      <c r="U100" s="95"/>
      <c r="V100" s="95"/>
      <c r="W100" s="100"/>
      <c r="X100" s="95"/>
      <c r="Y100" s="63">
        <f t="shared" si="3"/>
        <v>0</v>
      </c>
      <c r="Z100" s="100"/>
      <c r="AA100" s="95"/>
      <c r="AB100" s="95"/>
      <c r="AC100" s="95"/>
      <c r="AD100" s="96"/>
      <c r="AE100" s="97"/>
      <c r="AF100" s="101"/>
    </row>
    <row r="101" spans="1:32" x14ac:dyDescent="0.25">
      <c r="A101" s="95" t="s">
        <v>833</v>
      </c>
      <c r="B101" s="95">
        <v>8</v>
      </c>
      <c r="C101" s="95" t="s">
        <v>181</v>
      </c>
      <c r="D101" s="95" t="s">
        <v>180</v>
      </c>
      <c r="E101" s="95"/>
      <c r="F101" s="95"/>
      <c r="G101" s="95"/>
      <c r="H101" s="95"/>
      <c r="I101" s="95" t="s">
        <v>319</v>
      </c>
      <c r="J101" s="96" t="s">
        <v>588</v>
      </c>
      <c r="K101" s="97"/>
      <c r="L101" s="98"/>
      <c r="M101" s="98"/>
      <c r="N101" s="99"/>
      <c r="O101" s="95"/>
      <c r="P101" s="95"/>
      <c r="Q101" s="95"/>
      <c r="R101" s="63">
        <f t="shared" si="2"/>
        <v>0</v>
      </c>
      <c r="S101" s="95"/>
      <c r="T101" s="95"/>
      <c r="U101" s="95"/>
      <c r="V101" s="95"/>
      <c r="W101" s="100"/>
      <c r="X101" s="95"/>
      <c r="Y101" s="63">
        <f t="shared" si="3"/>
        <v>0</v>
      </c>
      <c r="Z101" s="100"/>
      <c r="AA101" s="95"/>
      <c r="AB101" s="95"/>
      <c r="AC101" s="95"/>
      <c r="AD101" s="96"/>
      <c r="AE101" s="97"/>
      <c r="AF101" s="101"/>
    </row>
    <row r="102" spans="1:32" x14ac:dyDescent="0.25">
      <c r="A102" s="95" t="s">
        <v>834</v>
      </c>
      <c r="B102" s="95">
        <v>8</v>
      </c>
      <c r="C102" s="95" t="s">
        <v>182</v>
      </c>
      <c r="D102" s="95" t="s">
        <v>181</v>
      </c>
      <c r="E102" s="95"/>
      <c r="F102" s="95"/>
      <c r="G102" s="95"/>
      <c r="H102" s="95"/>
      <c r="I102" s="95" t="s">
        <v>857</v>
      </c>
      <c r="J102" s="96" t="s">
        <v>588</v>
      </c>
      <c r="K102" s="97"/>
      <c r="L102" s="98"/>
      <c r="M102" s="98"/>
      <c r="N102" s="99"/>
      <c r="O102" s="95"/>
      <c r="P102" s="95"/>
      <c r="Q102" s="95"/>
      <c r="R102" s="63">
        <f t="shared" si="2"/>
        <v>0</v>
      </c>
      <c r="S102" s="95"/>
      <c r="T102" s="95"/>
      <c r="U102" s="95"/>
      <c r="V102" s="95"/>
      <c r="W102" s="100"/>
      <c r="X102" s="95"/>
      <c r="Y102" s="63">
        <f t="shared" si="3"/>
        <v>0</v>
      </c>
      <c r="Z102" s="100"/>
      <c r="AA102" s="95"/>
      <c r="AB102" s="95"/>
      <c r="AC102" s="95"/>
      <c r="AD102" s="96"/>
      <c r="AE102" s="97"/>
      <c r="AF102" s="101"/>
    </row>
    <row r="103" spans="1:32" x14ac:dyDescent="0.25">
      <c r="A103" s="95" t="s">
        <v>835</v>
      </c>
      <c r="B103" s="95">
        <v>8</v>
      </c>
      <c r="C103" s="95" t="s">
        <v>183</v>
      </c>
      <c r="D103" s="95" t="s">
        <v>182</v>
      </c>
      <c r="E103" s="95"/>
      <c r="F103" s="95"/>
      <c r="G103" s="95"/>
      <c r="H103" s="95"/>
      <c r="I103" s="95" t="s">
        <v>857</v>
      </c>
      <c r="J103" s="96" t="s">
        <v>588</v>
      </c>
      <c r="K103" s="97"/>
      <c r="L103" s="98"/>
      <c r="M103" s="98"/>
      <c r="N103" s="99"/>
      <c r="O103" s="95"/>
      <c r="P103" s="95"/>
      <c r="Q103" s="95"/>
      <c r="R103" s="63">
        <f t="shared" si="2"/>
        <v>0</v>
      </c>
      <c r="S103" s="95"/>
      <c r="T103" s="95"/>
      <c r="U103" s="95"/>
      <c r="V103" s="95"/>
      <c r="W103" s="100"/>
      <c r="X103" s="95"/>
      <c r="Y103" s="63">
        <f t="shared" si="3"/>
        <v>0</v>
      </c>
      <c r="Z103" s="100"/>
      <c r="AA103" s="95"/>
      <c r="AB103" s="95"/>
      <c r="AC103" s="95"/>
      <c r="AD103" s="96"/>
      <c r="AE103" s="97"/>
      <c r="AF103" s="101"/>
    </row>
    <row r="104" spans="1:32" x14ac:dyDescent="0.25">
      <c r="A104" s="95" t="s">
        <v>836</v>
      </c>
      <c r="B104" s="95">
        <v>8</v>
      </c>
      <c r="C104" s="95" t="s">
        <v>184</v>
      </c>
      <c r="D104" s="95" t="s">
        <v>181</v>
      </c>
      <c r="E104" s="95"/>
      <c r="F104" s="95"/>
      <c r="G104" s="95"/>
      <c r="H104" s="95"/>
      <c r="I104" s="95" t="s">
        <v>858</v>
      </c>
      <c r="J104" s="96" t="s">
        <v>588</v>
      </c>
      <c r="K104" s="97"/>
      <c r="L104" s="98"/>
      <c r="M104" s="98"/>
      <c r="N104" s="99"/>
      <c r="O104" s="95"/>
      <c r="P104" s="95"/>
      <c r="Q104" s="95"/>
      <c r="R104" s="63">
        <f t="shared" si="2"/>
        <v>0</v>
      </c>
      <c r="S104" s="95"/>
      <c r="T104" s="95"/>
      <c r="U104" s="95"/>
      <c r="V104" s="95"/>
      <c r="W104" s="100"/>
      <c r="X104" s="95"/>
      <c r="Y104" s="63">
        <f t="shared" si="3"/>
        <v>0</v>
      </c>
      <c r="Z104" s="100"/>
      <c r="AA104" s="95"/>
      <c r="AB104" s="95"/>
      <c r="AC104" s="95"/>
      <c r="AD104" s="96"/>
      <c r="AE104" s="97"/>
      <c r="AF104" s="101"/>
    </row>
    <row r="105" spans="1:32" x14ac:dyDescent="0.25">
      <c r="A105" s="95" t="s">
        <v>837</v>
      </c>
      <c r="B105" s="95">
        <v>8</v>
      </c>
      <c r="C105" s="95" t="s">
        <v>185</v>
      </c>
      <c r="D105" s="95" t="s">
        <v>182</v>
      </c>
      <c r="E105" s="95"/>
      <c r="F105" s="95"/>
      <c r="G105" s="95"/>
      <c r="H105" s="95"/>
      <c r="I105" s="95" t="s">
        <v>858</v>
      </c>
      <c r="J105" s="96" t="s">
        <v>588</v>
      </c>
      <c r="K105" s="97"/>
      <c r="L105" s="98"/>
      <c r="M105" s="98"/>
      <c r="N105" s="99"/>
      <c r="O105" s="95"/>
      <c r="P105" s="95"/>
      <c r="Q105" s="95"/>
      <c r="R105" s="63">
        <f t="shared" si="2"/>
        <v>0</v>
      </c>
      <c r="S105" s="95"/>
      <c r="T105" s="95"/>
      <c r="U105" s="95"/>
      <c r="V105" s="95"/>
      <c r="W105" s="100"/>
      <c r="X105" s="95"/>
      <c r="Y105" s="63">
        <f t="shared" si="3"/>
        <v>0</v>
      </c>
      <c r="Z105" s="100"/>
      <c r="AA105" s="95"/>
      <c r="AB105" s="95"/>
      <c r="AC105" s="95"/>
      <c r="AD105" s="96"/>
      <c r="AE105" s="97"/>
      <c r="AF105" s="101"/>
    </row>
    <row r="106" spans="1:32" x14ac:dyDescent="0.25">
      <c r="A106" s="95" t="s">
        <v>838</v>
      </c>
      <c r="B106" s="95">
        <v>8</v>
      </c>
      <c r="C106" s="95" t="s">
        <v>186</v>
      </c>
      <c r="D106" s="95" t="s">
        <v>187</v>
      </c>
      <c r="E106" s="95"/>
      <c r="F106" s="95"/>
      <c r="G106" s="95"/>
      <c r="H106" s="95"/>
      <c r="I106" s="95" t="s">
        <v>858</v>
      </c>
      <c r="J106" s="96" t="s">
        <v>588</v>
      </c>
      <c r="K106" s="97"/>
      <c r="L106" s="98"/>
      <c r="M106" s="98"/>
      <c r="N106" s="99"/>
      <c r="O106" s="95"/>
      <c r="P106" s="95"/>
      <c r="Q106" s="95"/>
      <c r="R106" s="63">
        <f t="shared" si="2"/>
        <v>0</v>
      </c>
      <c r="S106" s="95"/>
      <c r="T106" s="95"/>
      <c r="U106" s="95"/>
      <c r="V106" s="95"/>
      <c r="W106" s="100"/>
      <c r="X106" s="95"/>
      <c r="Y106" s="63">
        <f t="shared" si="3"/>
        <v>0</v>
      </c>
      <c r="Z106" s="100"/>
      <c r="AA106" s="95"/>
      <c r="AB106" s="95"/>
      <c r="AC106" s="95"/>
      <c r="AD106" s="96"/>
      <c r="AE106" s="97"/>
      <c r="AF106" s="101"/>
    </row>
    <row r="107" spans="1:32" x14ac:dyDescent="0.25">
      <c r="A107" s="95" t="s">
        <v>839</v>
      </c>
      <c r="B107" s="95">
        <v>8</v>
      </c>
      <c r="C107" s="95" t="s">
        <v>188</v>
      </c>
      <c r="D107" s="95" t="s">
        <v>179</v>
      </c>
      <c r="E107" s="95"/>
      <c r="F107" s="95"/>
      <c r="G107" s="95"/>
      <c r="H107" s="95"/>
      <c r="I107" s="95" t="s">
        <v>320</v>
      </c>
      <c r="J107" s="96" t="s">
        <v>588</v>
      </c>
      <c r="K107" s="97"/>
      <c r="L107" s="98"/>
      <c r="M107" s="98"/>
      <c r="N107" s="99"/>
      <c r="O107" s="95"/>
      <c r="P107" s="95"/>
      <c r="Q107" s="95"/>
      <c r="R107" s="63">
        <f t="shared" si="2"/>
        <v>0</v>
      </c>
      <c r="S107" s="95"/>
      <c r="T107" s="95"/>
      <c r="U107" s="95"/>
      <c r="V107" s="95"/>
      <c r="W107" s="100"/>
      <c r="X107" s="95"/>
      <c r="Y107" s="63">
        <f t="shared" si="3"/>
        <v>0</v>
      </c>
      <c r="Z107" s="100"/>
      <c r="AA107" s="95"/>
      <c r="AB107" s="95"/>
      <c r="AC107" s="95"/>
      <c r="AD107" s="96"/>
      <c r="AE107" s="97"/>
      <c r="AF107" s="101"/>
    </row>
    <row r="108" spans="1:32" x14ac:dyDescent="0.25">
      <c r="A108" s="95" t="s">
        <v>840</v>
      </c>
      <c r="B108" s="95">
        <v>8</v>
      </c>
      <c r="C108" s="95" t="s">
        <v>189</v>
      </c>
      <c r="D108" s="95" t="s">
        <v>184</v>
      </c>
      <c r="E108" s="95"/>
      <c r="F108" s="95"/>
      <c r="G108" s="95"/>
      <c r="H108" s="95"/>
      <c r="I108" s="95" t="s">
        <v>858</v>
      </c>
      <c r="J108" s="96" t="s">
        <v>588</v>
      </c>
      <c r="K108" s="97"/>
      <c r="L108" s="98"/>
      <c r="M108" s="98"/>
      <c r="N108" s="99"/>
      <c r="O108" s="95"/>
      <c r="P108" s="95"/>
      <c r="Q108" s="95"/>
      <c r="R108" s="63">
        <f t="shared" si="2"/>
        <v>0</v>
      </c>
      <c r="S108" s="95"/>
      <c r="T108" s="95"/>
      <c r="U108" s="95"/>
      <c r="V108" s="95"/>
      <c r="W108" s="100"/>
      <c r="X108" s="95"/>
      <c r="Y108" s="63">
        <f t="shared" si="3"/>
        <v>0</v>
      </c>
      <c r="Z108" s="100"/>
      <c r="AA108" s="95"/>
      <c r="AB108" s="95"/>
      <c r="AC108" s="95"/>
      <c r="AD108" s="96"/>
      <c r="AE108" s="97"/>
      <c r="AF108" s="101"/>
    </row>
    <row r="109" spans="1:32" x14ac:dyDescent="0.25">
      <c r="A109" s="95" t="s">
        <v>841</v>
      </c>
      <c r="B109" s="95">
        <v>8</v>
      </c>
      <c r="C109" s="95" t="s">
        <v>190</v>
      </c>
      <c r="D109" s="95" t="s">
        <v>183</v>
      </c>
      <c r="E109" s="95"/>
      <c r="F109" s="95"/>
      <c r="G109" s="95"/>
      <c r="H109" s="95"/>
      <c r="I109" s="95" t="s">
        <v>321</v>
      </c>
      <c r="J109" s="96" t="s">
        <v>588</v>
      </c>
      <c r="K109" s="97"/>
      <c r="L109" s="98"/>
      <c r="M109" s="98"/>
      <c r="N109" s="99"/>
      <c r="O109" s="95"/>
      <c r="P109" s="95"/>
      <c r="Q109" s="95"/>
      <c r="R109" s="63">
        <f t="shared" si="2"/>
        <v>0</v>
      </c>
      <c r="S109" s="95"/>
      <c r="T109" s="95"/>
      <c r="U109" s="95"/>
      <c r="V109" s="95"/>
      <c r="W109" s="100"/>
      <c r="X109" s="95"/>
      <c r="Y109" s="63">
        <f t="shared" si="3"/>
        <v>0</v>
      </c>
      <c r="Z109" s="100"/>
      <c r="AA109" s="95"/>
      <c r="AB109" s="95"/>
      <c r="AC109" s="95"/>
      <c r="AD109" s="96"/>
      <c r="AE109" s="97"/>
      <c r="AF109" s="101"/>
    </row>
    <row r="110" spans="1:32" x14ac:dyDescent="0.25">
      <c r="A110" s="95" t="s">
        <v>842</v>
      </c>
      <c r="B110" s="95">
        <v>8</v>
      </c>
      <c r="C110" s="95" t="s">
        <v>191</v>
      </c>
      <c r="D110" s="95" t="s">
        <v>190</v>
      </c>
      <c r="E110" s="95"/>
      <c r="F110" s="95"/>
      <c r="G110" s="95"/>
      <c r="H110" s="95"/>
      <c r="I110" s="95" t="s">
        <v>321</v>
      </c>
      <c r="J110" s="96" t="s">
        <v>588</v>
      </c>
      <c r="K110" s="97"/>
      <c r="L110" s="98"/>
      <c r="M110" s="98"/>
      <c r="N110" s="99"/>
      <c r="O110" s="95"/>
      <c r="P110" s="95"/>
      <c r="Q110" s="95"/>
      <c r="R110" s="63">
        <f t="shared" ref="R110:R173" si="4">IF(AND(Q110&gt;8, L110="CIPP with C/O"), Q110-8, IF(AND(Q110&gt;8, L110="Cleanout Only"), Q110-8, IF(AND(Q110&gt;10, L110="Service Relay"), Q110-10,0)))</f>
        <v>0</v>
      </c>
      <c r="S110" s="95"/>
      <c r="T110" s="95"/>
      <c r="U110" s="95"/>
      <c r="V110" s="95"/>
      <c r="W110" s="100"/>
      <c r="X110" s="95"/>
      <c r="Y110" s="63">
        <f t="shared" ref="Y110:Y173" si="5">IF(X110&gt;10, X110-10,0)</f>
        <v>0</v>
      </c>
      <c r="Z110" s="100"/>
      <c r="AA110" s="95"/>
      <c r="AB110" s="95"/>
      <c r="AC110" s="95"/>
      <c r="AD110" s="96"/>
      <c r="AE110" s="97"/>
      <c r="AF110" s="101"/>
    </row>
    <row r="111" spans="1:32" x14ac:dyDescent="0.25">
      <c r="A111" s="95" t="s">
        <v>843</v>
      </c>
      <c r="B111" s="95">
        <v>8</v>
      </c>
      <c r="C111" s="95" t="s">
        <v>192</v>
      </c>
      <c r="D111" s="95" t="s">
        <v>189</v>
      </c>
      <c r="E111" s="95"/>
      <c r="F111" s="95"/>
      <c r="G111" s="95"/>
      <c r="H111" s="95"/>
      <c r="I111" s="95" t="s">
        <v>858</v>
      </c>
      <c r="J111" s="96" t="s">
        <v>588</v>
      </c>
      <c r="K111" s="97"/>
      <c r="L111" s="98"/>
      <c r="M111" s="98"/>
      <c r="N111" s="99"/>
      <c r="O111" s="95"/>
      <c r="P111" s="95"/>
      <c r="Q111" s="95"/>
      <c r="R111" s="63">
        <f t="shared" si="4"/>
        <v>0</v>
      </c>
      <c r="S111" s="95"/>
      <c r="T111" s="95"/>
      <c r="U111" s="95"/>
      <c r="V111" s="95"/>
      <c r="W111" s="100"/>
      <c r="X111" s="95"/>
      <c r="Y111" s="63">
        <f t="shared" si="5"/>
        <v>0</v>
      </c>
      <c r="Z111" s="100"/>
      <c r="AA111" s="95"/>
      <c r="AB111" s="95"/>
      <c r="AC111" s="95"/>
      <c r="AD111" s="96"/>
      <c r="AE111" s="97"/>
      <c r="AF111" s="101"/>
    </row>
    <row r="112" spans="1:32" x14ac:dyDescent="0.25">
      <c r="A112" s="95" t="s">
        <v>844</v>
      </c>
      <c r="B112" s="95">
        <v>8</v>
      </c>
      <c r="C112" s="95" t="s">
        <v>193</v>
      </c>
      <c r="D112" s="95" t="s">
        <v>194</v>
      </c>
      <c r="E112" s="95"/>
      <c r="F112" s="95"/>
      <c r="G112" s="95"/>
      <c r="H112" s="95"/>
      <c r="I112" s="95" t="s">
        <v>859</v>
      </c>
      <c r="J112" s="96" t="s">
        <v>588</v>
      </c>
      <c r="K112" s="97"/>
      <c r="L112" s="98"/>
      <c r="M112" s="98"/>
      <c r="N112" s="99"/>
      <c r="O112" s="95"/>
      <c r="P112" s="95"/>
      <c r="Q112" s="95"/>
      <c r="R112" s="63">
        <f t="shared" si="4"/>
        <v>0</v>
      </c>
      <c r="S112" s="95"/>
      <c r="T112" s="95"/>
      <c r="U112" s="95"/>
      <c r="V112" s="95"/>
      <c r="W112" s="100"/>
      <c r="X112" s="95"/>
      <c r="Y112" s="63">
        <f t="shared" si="5"/>
        <v>0</v>
      </c>
      <c r="Z112" s="100"/>
      <c r="AA112" s="95"/>
      <c r="AB112" s="95"/>
      <c r="AC112" s="95"/>
      <c r="AD112" s="96"/>
      <c r="AE112" s="97"/>
      <c r="AF112" s="101"/>
    </row>
    <row r="113" spans="1:32" x14ac:dyDescent="0.25">
      <c r="A113" s="95" t="s">
        <v>845</v>
      </c>
      <c r="B113" s="95">
        <v>8</v>
      </c>
      <c r="C113" s="95" t="s">
        <v>195</v>
      </c>
      <c r="D113" s="95" t="s">
        <v>196</v>
      </c>
      <c r="E113" s="95"/>
      <c r="F113" s="95"/>
      <c r="G113" s="95"/>
      <c r="H113" s="95"/>
      <c r="I113" s="95" t="s">
        <v>860</v>
      </c>
      <c r="J113" s="96" t="s">
        <v>588</v>
      </c>
      <c r="K113" s="97"/>
      <c r="L113" s="98"/>
      <c r="M113" s="98"/>
      <c r="N113" s="99"/>
      <c r="O113" s="95"/>
      <c r="P113" s="95"/>
      <c r="Q113" s="95"/>
      <c r="R113" s="63">
        <f t="shared" si="4"/>
        <v>0</v>
      </c>
      <c r="S113" s="95"/>
      <c r="T113" s="95"/>
      <c r="U113" s="95"/>
      <c r="V113" s="95"/>
      <c r="W113" s="100"/>
      <c r="X113" s="95"/>
      <c r="Y113" s="63">
        <f t="shared" si="5"/>
        <v>0</v>
      </c>
      <c r="Z113" s="100"/>
      <c r="AA113" s="95"/>
      <c r="AB113" s="95"/>
      <c r="AC113" s="95"/>
      <c r="AD113" s="96"/>
      <c r="AE113" s="97"/>
      <c r="AF113" s="101"/>
    </row>
    <row r="114" spans="1:32" x14ac:dyDescent="0.25">
      <c r="A114" s="95" t="s">
        <v>846</v>
      </c>
      <c r="B114" s="95">
        <v>8</v>
      </c>
      <c r="C114" s="95" t="s">
        <v>197</v>
      </c>
      <c r="D114" s="95" t="s">
        <v>195</v>
      </c>
      <c r="E114" s="95"/>
      <c r="F114" s="95"/>
      <c r="G114" s="95"/>
      <c r="H114" s="95"/>
      <c r="I114" s="95" t="s">
        <v>860</v>
      </c>
      <c r="J114" s="96" t="s">
        <v>588</v>
      </c>
      <c r="K114" s="97"/>
      <c r="L114" s="98"/>
      <c r="M114" s="98"/>
      <c r="N114" s="99"/>
      <c r="O114" s="95"/>
      <c r="P114" s="95"/>
      <c r="Q114" s="95"/>
      <c r="R114" s="63">
        <f t="shared" si="4"/>
        <v>0</v>
      </c>
      <c r="S114" s="95"/>
      <c r="T114" s="95"/>
      <c r="U114" s="95"/>
      <c r="V114" s="95"/>
      <c r="W114" s="100"/>
      <c r="X114" s="95"/>
      <c r="Y114" s="63">
        <f t="shared" si="5"/>
        <v>0</v>
      </c>
      <c r="Z114" s="100"/>
      <c r="AA114" s="95"/>
      <c r="AB114" s="95"/>
      <c r="AC114" s="95"/>
      <c r="AD114" s="96"/>
      <c r="AE114" s="97"/>
      <c r="AF114" s="101"/>
    </row>
    <row r="115" spans="1:32" x14ac:dyDescent="0.25">
      <c r="A115" s="95" t="s">
        <v>847</v>
      </c>
      <c r="B115" s="95">
        <v>8</v>
      </c>
      <c r="C115" s="95" t="s">
        <v>198</v>
      </c>
      <c r="D115" s="95" t="s">
        <v>197</v>
      </c>
      <c r="E115" s="95"/>
      <c r="F115" s="95"/>
      <c r="G115" s="95"/>
      <c r="H115" s="95"/>
      <c r="I115" s="95" t="s">
        <v>860</v>
      </c>
      <c r="J115" s="96" t="s">
        <v>588</v>
      </c>
      <c r="K115" s="97"/>
      <c r="L115" s="98"/>
      <c r="M115" s="98"/>
      <c r="N115" s="99"/>
      <c r="O115" s="95"/>
      <c r="P115" s="95"/>
      <c r="Q115" s="95"/>
      <c r="R115" s="63">
        <f t="shared" si="4"/>
        <v>0</v>
      </c>
      <c r="S115" s="95"/>
      <c r="T115" s="95"/>
      <c r="U115" s="95"/>
      <c r="V115" s="95"/>
      <c r="W115" s="100"/>
      <c r="X115" s="95"/>
      <c r="Y115" s="63">
        <f t="shared" si="5"/>
        <v>0</v>
      </c>
      <c r="Z115" s="100"/>
      <c r="AA115" s="95"/>
      <c r="AB115" s="95"/>
      <c r="AC115" s="95"/>
      <c r="AD115" s="96"/>
      <c r="AE115" s="97"/>
      <c r="AF115" s="101"/>
    </row>
    <row r="116" spans="1:32" x14ac:dyDescent="0.25">
      <c r="A116" s="95" t="s">
        <v>848</v>
      </c>
      <c r="B116" s="95">
        <v>8</v>
      </c>
      <c r="C116" s="95" t="s">
        <v>199</v>
      </c>
      <c r="D116" s="95" t="s">
        <v>198</v>
      </c>
      <c r="E116" s="95"/>
      <c r="F116" s="95"/>
      <c r="G116" s="95"/>
      <c r="H116" s="95"/>
      <c r="I116" s="95" t="s">
        <v>860</v>
      </c>
      <c r="J116" s="96" t="s">
        <v>588</v>
      </c>
      <c r="K116" s="97"/>
      <c r="L116" s="98"/>
      <c r="M116" s="98"/>
      <c r="N116" s="99"/>
      <c r="O116" s="95"/>
      <c r="P116" s="95"/>
      <c r="Q116" s="95"/>
      <c r="R116" s="63">
        <f t="shared" si="4"/>
        <v>0</v>
      </c>
      <c r="S116" s="95"/>
      <c r="T116" s="95"/>
      <c r="U116" s="95"/>
      <c r="V116" s="95"/>
      <c r="W116" s="100"/>
      <c r="X116" s="95"/>
      <c r="Y116" s="63">
        <f t="shared" si="5"/>
        <v>0</v>
      </c>
      <c r="Z116" s="100"/>
      <c r="AA116" s="95"/>
      <c r="AB116" s="95"/>
      <c r="AC116" s="95"/>
      <c r="AD116" s="96"/>
      <c r="AE116" s="97"/>
      <c r="AF116" s="101"/>
    </row>
    <row r="117" spans="1:32" x14ac:dyDescent="0.25">
      <c r="A117" s="95" t="s">
        <v>849</v>
      </c>
      <c r="B117" s="95">
        <v>8</v>
      </c>
      <c r="C117" s="95" t="s">
        <v>200</v>
      </c>
      <c r="D117" s="95" t="s">
        <v>199</v>
      </c>
      <c r="E117" s="95"/>
      <c r="F117" s="95"/>
      <c r="G117" s="95"/>
      <c r="H117" s="95"/>
      <c r="I117" s="95" t="s">
        <v>860</v>
      </c>
      <c r="J117" s="96" t="s">
        <v>588</v>
      </c>
      <c r="K117" s="97"/>
      <c r="L117" s="98"/>
      <c r="M117" s="98"/>
      <c r="N117" s="99"/>
      <c r="O117" s="95"/>
      <c r="P117" s="95"/>
      <c r="Q117" s="95"/>
      <c r="R117" s="63">
        <f t="shared" si="4"/>
        <v>0</v>
      </c>
      <c r="S117" s="95"/>
      <c r="T117" s="95"/>
      <c r="U117" s="95"/>
      <c r="V117" s="95"/>
      <c r="W117" s="100"/>
      <c r="X117" s="95"/>
      <c r="Y117" s="63">
        <f t="shared" si="5"/>
        <v>0</v>
      </c>
      <c r="Z117" s="100"/>
      <c r="AA117" s="95"/>
      <c r="AB117" s="95"/>
      <c r="AC117" s="95"/>
      <c r="AD117" s="96"/>
      <c r="AE117" s="97"/>
      <c r="AF117" s="101"/>
    </row>
    <row r="118" spans="1:32" x14ac:dyDescent="0.25">
      <c r="A118" s="95" t="s">
        <v>850</v>
      </c>
      <c r="B118" s="95">
        <v>8</v>
      </c>
      <c r="C118" s="95" t="s">
        <v>201</v>
      </c>
      <c r="D118" s="95" t="s">
        <v>200</v>
      </c>
      <c r="E118" s="95"/>
      <c r="F118" s="95"/>
      <c r="G118" s="95"/>
      <c r="H118" s="95"/>
      <c r="I118" s="95" t="s">
        <v>860</v>
      </c>
      <c r="J118" s="96" t="s">
        <v>588</v>
      </c>
      <c r="K118" s="97"/>
      <c r="L118" s="98"/>
      <c r="M118" s="98"/>
      <c r="N118" s="99"/>
      <c r="O118" s="95"/>
      <c r="P118" s="95"/>
      <c r="Q118" s="95"/>
      <c r="R118" s="63">
        <f t="shared" si="4"/>
        <v>0</v>
      </c>
      <c r="S118" s="95"/>
      <c r="T118" s="95"/>
      <c r="U118" s="95"/>
      <c r="V118" s="95"/>
      <c r="W118" s="100"/>
      <c r="X118" s="95"/>
      <c r="Y118" s="63">
        <f t="shared" si="5"/>
        <v>0</v>
      </c>
      <c r="Z118" s="100"/>
      <c r="AA118" s="95"/>
      <c r="AB118" s="95"/>
      <c r="AC118" s="95"/>
      <c r="AD118" s="96"/>
      <c r="AE118" s="97"/>
      <c r="AF118" s="101"/>
    </row>
    <row r="119" spans="1:32" x14ac:dyDescent="0.25">
      <c r="A119" s="95" t="s">
        <v>851</v>
      </c>
      <c r="B119" s="95">
        <v>8</v>
      </c>
      <c r="C119" s="95" t="s">
        <v>202</v>
      </c>
      <c r="D119" s="95" t="s">
        <v>203</v>
      </c>
      <c r="E119" s="95"/>
      <c r="F119" s="95"/>
      <c r="G119" s="95"/>
      <c r="H119" s="95"/>
      <c r="I119" s="95" t="s">
        <v>860</v>
      </c>
      <c r="J119" s="96" t="s">
        <v>588</v>
      </c>
      <c r="K119" s="97"/>
      <c r="L119" s="98"/>
      <c r="M119" s="98"/>
      <c r="N119" s="99"/>
      <c r="O119" s="95"/>
      <c r="P119" s="95"/>
      <c r="Q119" s="95"/>
      <c r="R119" s="63">
        <f t="shared" si="4"/>
        <v>0</v>
      </c>
      <c r="S119" s="95"/>
      <c r="T119" s="95"/>
      <c r="U119" s="95"/>
      <c r="V119" s="95"/>
      <c r="W119" s="100"/>
      <c r="X119" s="95"/>
      <c r="Y119" s="63">
        <f t="shared" si="5"/>
        <v>0</v>
      </c>
      <c r="Z119" s="100"/>
      <c r="AA119" s="95"/>
      <c r="AB119" s="95"/>
      <c r="AC119" s="95"/>
      <c r="AD119" s="96"/>
      <c r="AE119" s="97"/>
      <c r="AF119" s="101"/>
    </row>
    <row r="120" spans="1:32" x14ac:dyDescent="0.25">
      <c r="A120" s="95" t="s">
        <v>852</v>
      </c>
      <c r="B120" s="95">
        <v>12</v>
      </c>
      <c r="C120" s="95" t="s">
        <v>204</v>
      </c>
      <c r="D120" s="95" t="s">
        <v>205</v>
      </c>
      <c r="E120" s="95"/>
      <c r="F120" s="95"/>
      <c r="G120" s="95"/>
      <c r="H120" s="95"/>
      <c r="I120" s="95" t="s">
        <v>322</v>
      </c>
      <c r="J120" s="96" t="s">
        <v>854</v>
      </c>
      <c r="K120" s="97"/>
      <c r="L120" s="98"/>
      <c r="M120" s="98"/>
      <c r="N120" s="99"/>
      <c r="O120" s="95"/>
      <c r="P120" s="95"/>
      <c r="Q120" s="95"/>
      <c r="R120" s="63">
        <f t="shared" si="4"/>
        <v>0</v>
      </c>
      <c r="S120" s="95"/>
      <c r="T120" s="95"/>
      <c r="U120" s="95"/>
      <c r="V120" s="95"/>
      <c r="W120" s="100"/>
      <c r="X120" s="95"/>
      <c r="Y120" s="63">
        <f t="shared" si="5"/>
        <v>0</v>
      </c>
      <c r="Z120" s="100"/>
      <c r="AA120" s="95"/>
      <c r="AB120" s="95"/>
      <c r="AC120" s="95"/>
      <c r="AD120" s="96"/>
      <c r="AE120" s="97"/>
      <c r="AF120" s="101"/>
    </row>
    <row r="121" spans="1:32" x14ac:dyDescent="0.25">
      <c r="A121" s="95"/>
      <c r="B121" s="95"/>
      <c r="C121" s="95"/>
      <c r="D121" s="95"/>
      <c r="E121" s="95"/>
      <c r="F121" s="95"/>
      <c r="G121" s="95"/>
      <c r="H121" s="95"/>
      <c r="I121" s="95"/>
      <c r="J121" s="96"/>
      <c r="K121" s="97"/>
      <c r="L121" s="98"/>
      <c r="M121" s="98"/>
      <c r="N121" s="99"/>
      <c r="O121" s="95"/>
      <c r="P121" s="95"/>
      <c r="Q121" s="95"/>
      <c r="R121" s="63">
        <f t="shared" si="4"/>
        <v>0</v>
      </c>
      <c r="S121" s="95"/>
      <c r="T121" s="95"/>
      <c r="U121" s="95"/>
      <c r="V121" s="95"/>
      <c r="W121" s="100"/>
      <c r="X121" s="95"/>
      <c r="Y121" s="63">
        <f t="shared" si="5"/>
        <v>0</v>
      </c>
      <c r="Z121" s="100"/>
      <c r="AA121" s="95"/>
      <c r="AB121" s="95"/>
      <c r="AC121" s="95"/>
      <c r="AD121" s="96"/>
      <c r="AE121" s="97"/>
      <c r="AF121" s="101"/>
    </row>
    <row r="122" spans="1:32" x14ac:dyDescent="0.25">
      <c r="A122" s="95"/>
      <c r="B122" s="95"/>
      <c r="C122" s="95"/>
      <c r="D122" s="95"/>
      <c r="E122" s="95"/>
      <c r="F122" s="95"/>
      <c r="G122" s="95"/>
      <c r="H122" s="95"/>
      <c r="I122" s="95"/>
      <c r="J122" s="96"/>
      <c r="K122" s="97"/>
      <c r="L122" s="98"/>
      <c r="M122" s="98"/>
      <c r="N122" s="99"/>
      <c r="O122" s="95"/>
      <c r="P122" s="95"/>
      <c r="Q122" s="95"/>
      <c r="R122" s="63">
        <f t="shared" si="4"/>
        <v>0</v>
      </c>
      <c r="S122" s="95"/>
      <c r="T122" s="95"/>
      <c r="U122" s="95"/>
      <c r="V122" s="95"/>
      <c r="W122" s="100"/>
      <c r="X122" s="95"/>
      <c r="Y122" s="63">
        <f t="shared" si="5"/>
        <v>0</v>
      </c>
      <c r="Z122" s="100"/>
      <c r="AA122" s="95"/>
      <c r="AB122" s="95"/>
      <c r="AC122" s="95"/>
      <c r="AD122" s="96"/>
      <c r="AE122" s="97"/>
      <c r="AF122" s="101"/>
    </row>
    <row r="123" spans="1:32" x14ac:dyDescent="0.25">
      <c r="A123" s="95"/>
      <c r="B123" s="95"/>
      <c r="C123" s="95"/>
      <c r="D123" s="95"/>
      <c r="E123" s="95"/>
      <c r="F123" s="95"/>
      <c r="G123" s="95"/>
      <c r="H123" s="95"/>
      <c r="I123" s="95"/>
      <c r="J123" s="96"/>
      <c r="K123" s="97"/>
      <c r="L123" s="98"/>
      <c r="M123" s="98"/>
      <c r="N123" s="99"/>
      <c r="O123" s="95"/>
      <c r="P123" s="95"/>
      <c r="Q123" s="95"/>
      <c r="R123" s="63">
        <f t="shared" si="4"/>
        <v>0</v>
      </c>
      <c r="S123" s="95"/>
      <c r="T123" s="95"/>
      <c r="U123" s="95"/>
      <c r="V123" s="95"/>
      <c r="W123" s="100"/>
      <c r="X123" s="95"/>
      <c r="Y123" s="63">
        <f t="shared" si="5"/>
        <v>0</v>
      </c>
      <c r="Z123" s="100"/>
      <c r="AA123" s="95"/>
      <c r="AB123" s="95"/>
      <c r="AC123" s="95"/>
      <c r="AD123" s="96"/>
      <c r="AE123" s="97"/>
      <c r="AF123" s="101"/>
    </row>
    <row r="124" spans="1:32" x14ac:dyDescent="0.25">
      <c r="A124" s="95"/>
      <c r="B124" s="95"/>
      <c r="C124" s="95"/>
      <c r="D124" s="95"/>
      <c r="E124" s="95"/>
      <c r="F124" s="95"/>
      <c r="G124" s="95"/>
      <c r="H124" s="95"/>
      <c r="I124" s="95"/>
      <c r="J124" s="96"/>
      <c r="K124" s="97"/>
      <c r="L124" s="98"/>
      <c r="M124" s="98"/>
      <c r="N124" s="99"/>
      <c r="O124" s="95"/>
      <c r="P124" s="95"/>
      <c r="Q124" s="95"/>
      <c r="R124" s="63">
        <f t="shared" si="4"/>
        <v>0</v>
      </c>
      <c r="S124" s="95"/>
      <c r="T124" s="95"/>
      <c r="U124" s="95"/>
      <c r="V124" s="95"/>
      <c r="W124" s="100"/>
      <c r="X124" s="95"/>
      <c r="Y124" s="63">
        <f t="shared" si="5"/>
        <v>0</v>
      </c>
      <c r="Z124" s="100"/>
      <c r="AA124" s="95"/>
      <c r="AB124" s="95"/>
      <c r="AC124" s="95"/>
      <c r="AD124" s="96"/>
      <c r="AE124" s="97"/>
      <c r="AF124" s="101"/>
    </row>
    <row r="125" spans="1:32" x14ac:dyDescent="0.25">
      <c r="A125" s="95"/>
      <c r="B125" s="95"/>
      <c r="C125" s="95"/>
      <c r="D125" s="95"/>
      <c r="E125" s="95"/>
      <c r="F125" s="95"/>
      <c r="G125" s="95"/>
      <c r="H125" s="95"/>
      <c r="I125" s="95"/>
      <c r="J125" s="96"/>
      <c r="K125" s="97"/>
      <c r="L125" s="98"/>
      <c r="M125" s="98"/>
      <c r="N125" s="99"/>
      <c r="O125" s="95"/>
      <c r="P125" s="95"/>
      <c r="Q125" s="95"/>
      <c r="R125" s="63">
        <f t="shared" si="4"/>
        <v>0</v>
      </c>
      <c r="S125" s="95"/>
      <c r="T125" s="95"/>
      <c r="U125" s="95"/>
      <c r="V125" s="95"/>
      <c r="W125" s="100"/>
      <c r="X125" s="95"/>
      <c r="Y125" s="63">
        <f t="shared" si="5"/>
        <v>0</v>
      </c>
      <c r="Z125" s="100"/>
      <c r="AA125" s="95"/>
      <c r="AB125" s="95"/>
      <c r="AC125" s="95"/>
      <c r="AD125" s="96"/>
      <c r="AE125" s="97"/>
      <c r="AF125" s="101"/>
    </row>
    <row r="126" spans="1:32" x14ac:dyDescent="0.25">
      <c r="A126" s="95"/>
      <c r="B126" s="95"/>
      <c r="C126" s="95"/>
      <c r="D126" s="95"/>
      <c r="E126" s="95"/>
      <c r="F126" s="95"/>
      <c r="G126" s="95"/>
      <c r="H126" s="95"/>
      <c r="I126" s="95"/>
      <c r="J126" s="96"/>
      <c r="K126" s="97"/>
      <c r="L126" s="98"/>
      <c r="M126" s="98"/>
      <c r="N126" s="99"/>
      <c r="O126" s="95"/>
      <c r="P126" s="95"/>
      <c r="Q126" s="95"/>
      <c r="R126" s="63">
        <f t="shared" si="4"/>
        <v>0</v>
      </c>
      <c r="S126" s="95"/>
      <c r="T126" s="95"/>
      <c r="U126" s="95"/>
      <c r="V126" s="95"/>
      <c r="W126" s="100"/>
      <c r="X126" s="95"/>
      <c r="Y126" s="63">
        <f t="shared" si="5"/>
        <v>0</v>
      </c>
      <c r="Z126" s="100"/>
      <c r="AA126" s="95"/>
      <c r="AB126" s="95"/>
      <c r="AC126" s="95"/>
      <c r="AD126" s="96"/>
      <c r="AE126" s="97"/>
      <c r="AF126" s="101"/>
    </row>
    <row r="127" spans="1:32" x14ac:dyDescent="0.25">
      <c r="A127" s="95"/>
      <c r="B127" s="95"/>
      <c r="C127" s="95"/>
      <c r="D127" s="95"/>
      <c r="E127" s="95"/>
      <c r="F127" s="95"/>
      <c r="G127" s="95"/>
      <c r="H127" s="95"/>
      <c r="I127" s="95"/>
      <c r="J127" s="96"/>
      <c r="K127" s="97"/>
      <c r="L127" s="98"/>
      <c r="M127" s="98"/>
      <c r="N127" s="99"/>
      <c r="O127" s="95"/>
      <c r="P127" s="95"/>
      <c r="Q127" s="95"/>
      <c r="R127" s="63">
        <f t="shared" si="4"/>
        <v>0</v>
      </c>
      <c r="S127" s="95"/>
      <c r="T127" s="95"/>
      <c r="U127" s="95"/>
      <c r="V127" s="95"/>
      <c r="W127" s="100"/>
      <c r="X127" s="95"/>
      <c r="Y127" s="63">
        <f t="shared" si="5"/>
        <v>0</v>
      </c>
      <c r="Z127" s="100"/>
      <c r="AA127" s="95"/>
      <c r="AB127" s="95"/>
      <c r="AC127" s="95"/>
      <c r="AD127" s="96"/>
      <c r="AE127" s="97"/>
      <c r="AF127" s="101"/>
    </row>
    <row r="128" spans="1:32" x14ac:dyDescent="0.25">
      <c r="A128" s="95"/>
      <c r="B128" s="95"/>
      <c r="C128" s="95"/>
      <c r="D128" s="95"/>
      <c r="E128" s="95"/>
      <c r="F128" s="95"/>
      <c r="G128" s="95"/>
      <c r="H128" s="95"/>
      <c r="I128" s="95"/>
      <c r="J128" s="96"/>
      <c r="K128" s="97"/>
      <c r="L128" s="98"/>
      <c r="M128" s="98"/>
      <c r="N128" s="99"/>
      <c r="O128" s="95"/>
      <c r="P128" s="95"/>
      <c r="Q128" s="95"/>
      <c r="R128" s="63">
        <f t="shared" si="4"/>
        <v>0</v>
      </c>
      <c r="S128" s="95"/>
      <c r="T128" s="95"/>
      <c r="U128" s="95"/>
      <c r="V128" s="95"/>
      <c r="W128" s="100"/>
      <c r="X128" s="95"/>
      <c r="Y128" s="63">
        <f t="shared" si="5"/>
        <v>0</v>
      </c>
      <c r="Z128" s="100"/>
      <c r="AA128" s="95"/>
      <c r="AB128" s="95"/>
      <c r="AC128" s="95"/>
      <c r="AD128" s="96"/>
      <c r="AE128" s="97"/>
      <c r="AF128" s="101"/>
    </row>
    <row r="129" spans="1:32" x14ac:dyDescent="0.25">
      <c r="A129" s="95"/>
      <c r="B129" s="95"/>
      <c r="C129" s="95"/>
      <c r="D129" s="95"/>
      <c r="E129" s="95"/>
      <c r="F129" s="95"/>
      <c r="G129" s="95"/>
      <c r="H129" s="95"/>
      <c r="I129" s="95"/>
      <c r="J129" s="96"/>
      <c r="K129" s="97"/>
      <c r="L129" s="98"/>
      <c r="M129" s="98"/>
      <c r="N129" s="99"/>
      <c r="O129" s="95"/>
      <c r="P129" s="95"/>
      <c r="Q129" s="95"/>
      <c r="R129" s="63">
        <f t="shared" si="4"/>
        <v>0</v>
      </c>
      <c r="S129" s="95"/>
      <c r="T129" s="95"/>
      <c r="U129" s="95"/>
      <c r="V129" s="95"/>
      <c r="W129" s="100"/>
      <c r="X129" s="95"/>
      <c r="Y129" s="63">
        <f t="shared" si="5"/>
        <v>0</v>
      </c>
      <c r="Z129" s="100"/>
      <c r="AA129" s="95"/>
      <c r="AB129" s="95"/>
      <c r="AC129" s="95"/>
      <c r="AD129" s="96"/>
      <c r="AE129" s="97"/>
      <c r="AF129" s="101"/>
    </row>
    <row r="130" spans="1:32" x14ac:dyDescent="0.25">
      <c r="A130" s="95"/>
      <c r="B130" s="95"/>
      <c r="C130" s="95"/>
      <c r="D130" s="95"/>
      <c r="E130" s="95"/>
      <c r="F130" s="95"/>
      <c r="G130" s="95"/>
      <c r="H130" s="95"/>
      <c r="I130" s="95"/>
      <c r="J130" s="96"/>
      <c r="K130" s="97"/>
      <c r="L130" s="98"/>
      <c r="M130" s="98"/>
      <c r="N130" s="99"/>
      <c r="O130" s="95"/>
      <c r="P130" s="95"/>
      <c r="Q130" s="95"/>
      <c r="R130" s="63">
        <f t="shared" si="4"/>
        <v>0</v>
      </c>
      <c r="S130" s="95"/>
      <c r="T130" s="95"/>
      <c r="U130" s="95"/>
      <c r="V130" s="95"/>
      <c r="W130" s="100"/>
      <c r="X130" s="95"/>
      <c r="Y130" s="63">
        <f t="shared" si="5"/>
        <v>0</v>
      </c>
      <c r="Z130" s="100"/>
      <c r="AA130" s="95"/>
      <c r="AB130" s="95"/>
      <c r="AC130" s="95"/>
      <c r="AD130" s="96"/>
      <c r="AE130" s="97"/>
      <c r="AF130" s="101"/>
    </row>
    <row r="131" spans="1:32" x14ac:dyDescent="0.25">
      <c r="A131" s="95"/>
      <c r="B131" s="95"/>
      <c r="C131" s="95"/>
      <c r="D131" s="95"/>
      <c r="E131" s="95"/>
      <c r="F131" s="95"/>
      <c r="G131" s="95"/>
      <c r="H131" s="95"/>
      <c r="I131" s="95"/>
      <c r="J131" s="96"/>
      <c r="K131" s="97"/>
      <c r="L131" s="98"/>
      <c r="M131" s="98"/>
      <c r="N131" s="99"/>
      <c r="O131" s="95"/>
      <c r="P131" s="95"/>
      <c r="Q131" s="95"/>
      <c r="R131" s="63">
        <f t="shared" si="4"/>
        <v>0</v>
      </c>
      <c r="S131" s="95"/>
      <c r="T131" s="95"/>
      <c r="U131" s="95"/>
      <c r="V131" s="95"/>
      <c r="W131" s="100"/>
      <c r="X131" s="95"/>
      <c r="Y131" s="63">
        <f t="shared" si="5"/>
        <v>0</v>
      </c>
      <c r="Z131" s="100"/>
      <c r="AA131" s="95"/>
      <c r="AB131" s="95"/>
      <c r="AC131" s="95"/>
      <c r="AD131" s="96"/>
      <c r="AE131" s="97"/>
      <c r="AF131" s="101"/>
    </row>
    <row r="132" spans="1:32" x14ac:dyDescent="0.25">
      <c r="A132" s="95"/>
      <c r="B132" s="95"/>
      <c r="C132" s="95"/>
      <c r="D132" s="95"/>
      <c r="E132" s="95"/>
      <c r="F132" s="95"/>
      <c r="G132" s="95"/>
      <c r="H132" s="95"/>
      <c r="I132" s="95"/>
      <c r="J132" s="96"/>
      <c r="K132" s="97"/>
      <c r="L132" s="98"/>
      <c r="M132" s="98"/>
      <c r="N132" s="99"/>
      <c r="O132" s="95"/>
      <c r="P132" s="95"/>
      <c r="Q132" s="95"/>
      <c r="R132" s="63">
        <f t="shared" si="4"/>
        <v>0</v>
      </c>
      <c r="S132" s="95"/>
      <c r="T132" s="95"/>
      <c r="U132" s="95"/>
      <c r="V132" s="95"/>
      <c r="W132" s="100"/>
      <c r="X132" s="95"/>
      <c r="Y132" s="63">
        <f t="shared" si="5"/>
        <v>0</v>
      </c>
      <c r="Z132" s="100"/>
      <c r="AA132" s="95"/>
      <c r="AB132" s="95"/>
      <c r="AC132" s="95"/>
      <c r="AD132" s="96"/>
      <c r="AE132" s="97"/>
      <c r="AF132" s="101"/>
    </row>
    <row r="133" spans="1:32" x14ac:dyDescent="0.25">
      <c r="A133" s="95"/>
      <c r="B133" s="95"/>
      <c r="C133" s="95"/>
      <c r="D133" s="95"/>
      <c r="E133" s="95"/>
      <c r="F133" s="95"/>
      <c r="G133" s="95"/>
      <c r="H133" s="95"/>
      <c r="I133" s="95"/>
      <c r="J133" s="96"/>
      <c r="K133" s="97"/>
      <c r="L133" s="98"/>
      <c r="M133" s="98"/>
      <c r="N133" s="99"/>
      <c r="O133" s="95"/>
      <c r="P133" s="95"/>
      <c r="Q133" s="95"/>
      <c r="R133" s="63">
        <f t="shared" si="4"/>
        <v>0</v>
      </c>
      <c r="S133" s="95"/>
      <c r="T133" s="95"/>
      <c r="U133" s="95"/>
      <c r="V133" s="95"/>
      <c r="W133" s="100"/>
      <c r="X133" s="95"/>
      <c r="Y133" s="63">
        <f t="shared" si="5"/>
        <v>0</v>
      </c>
      <c r="Z133" s="100"/>
      <c r="AA133" s="95"/>
      <c r="AB133" s="95"/>
      <c r="AC133" s="95"/>
      <c r="AD133" s="96"/>
      <c r="AE133" s="97"/>
      <c r="AF133" s="101"/>
    </row>
    <row r="134" spans="1:32" x14ac:dyDescent="0.25">
      <c r="A134" s="95"/>
      <c r="B134" s="95"/>
      <c r="C134" s="95"/>
      <c r="D134" s="95"/>
      <c r="E134" s="95"/>
      <c r="F134" s="95"/>
      <c r="G134" s="95"/>
      <c r="H134" s="95"/>
      <c r="I134" s="95"/>
      <c r="J134" s="96"/>
      <c r="K134" s="97"/>
      <c r="L134" s="98"/>
      <c r="M134" s="98"/>
      <c r="N134" s="99"/>
      <c r="O134" s="95"/>
      <c r="P134" s="95"/>
      <c r="Q134" s="95"/>
      <c r="R134" s="63">
        <f t="shared" si="4"/>
        <v>0</v>
      </c>
      <c r="S134" s="95"/>
      <c r="T134" s="95"/>
      <c r="U134" s="95"/>
      <c r="V134" s="95"/>
      <c r="W134" s="100"/>
      <c r="X134" s="95"/>
      <c r="Y134" s="63">
        <f t="shared" si="5"/>
        <v>0</v>
      </c>
      <c r="Z134" s="100"/>
      <c r="AA134" s="95"/>
      <c r="AB134" s="95"/>
      <c r="AC134" s="95"/>
      <c r="AD134" s="96"/>
      <c r="AE134" s="97"/>
      <c r="AF134" s="101"/>
    </row>
    <row r="135" spans="1:32" x14ac:dyDescent="0.25">
      <c r="A135" s="95"/>
      <c r="B135" s="95"/>
      <c r="C135" s="95"/>
      <c r="D135" s="95"/>
      <c r="E135" s="95"/>
      <c r="F135" s="95"/>
      <c r="G135" s="95"/>
      <c r="H135" s="95"/>
      <c r="I135" s="95"/>
      <c r="J135" s="96"/>
      <c r="K135" s="97"/>
      <c r="L135" s="98"/>
      <c r="M135" s="98"/>
      <c r="N135" s="99"/>
      <c r="O135" s="95"/>
      <c r="P135" s="95"/>
      <c r="Q135" s="95"/>
      <c r="R135" s="63">
        <f t="shared" si="4"/>
        <v>0</v>
      </c>
      <c r="S135" s="95"/>
      <c r="T135" s="95"/>
      <c r="U135" s="95"/>
      <c r="V135" s="95"/>
      <c r="W135" s="100"/>
      <c r="X135" s="95"/>
      <c r="Y135" s="63">
        <f t="shared" si="5"/>
        <v>0</v>
      </c>
      <c r="Z135" s="100"/>
      <c r="AA135" s="95"/>
      <c r="AB135" s="95"/>
      <c r="AC135" s="95"/>
      <c r="AD135" s="96"/>
      <c r="AE135" s="97"/>
      <c r="AF135" s="101"/>
    </row>
    <row r="136" spans="1:32" x14ac:dyDescent="0.25">
      <c r="A136" s="95"/>
      <c r="B136" s="95"/>
      <c r="C136" s="95"/>
      <c r="D136" s="95"/>
      <c r="E136" s="95"/>
      <c r="F136" s="95"/>
      <c r="G136" s="95"/>
      <c r="H136" s="95"/>
      <c r="I136" s="95"/>
      <c r="J136" s="96"/>
      <c r="K136" s="97"/>
      <c r="L136" s="98"/>
      <c r="M136" s="98"/>
      <c r="N136" s="99"/>
      <c r="O136" s="95"/>
      <c r="P136" s="95"/>
      <c r="Q136" s="95"/>
      <c r="R136" s="63">
        <f t="shared" si="4"/>
        <v>0</v>
      </c>
      <c r="S136" s="95"/>
      <c r="T136" s="95"/>
      <c r="U136" s="95"/>
      <c r="V136" s="95"/>
      <c r="W136" s="100"/>
      <c r="X136" s="95"/>
      <c r="Y136" s="63">
        <f t="shared" si="5"/>
        <v>0</v>
      </c>
      <c r="Z136" s="100"/>
      <c r="AA136" s="95"/>
      <c r="AB136" s="95"/>
      <c r="AC136" s="95"/>
      <c r="AD136" s="96"/>
      <c r="AE136" s="97"/>
      <c r="AF136" s="101"/>
    </row>
    <row r="137" spans="1:32" x14ac:dyDescent="0.25">
      <c r="A137" s="95"/>
      <c r="B137" s="95"/>
      <c r="C137" s="95"/>
      <c r="D137" s="95"/>
      <c r="E137" s="95"/>
      <c r="F137" s="95"/>
      <c r="G137" s="95"/>
      <c r="H137" s="95"/>
      <c r="I137" s="95"/>
      <c r="J137" s="96"/>
      <c r="K137" s="97"/>
      <c r="L137" s="98"/>
      <c r="M137" s="98"/>
      <c r="N137" s="99"/>
      <c r="O137" s="95"/>
      <c r="P137" s="95"/>
      <c r="Q137" s="95"/>
      <c r="R137" s="63">
        <f t="shared" si="4"/>
        <v>0</v>
      </c>
      <c r="S137" s="95"/>
      <c r="T137" s="95"/>
      <c r="U137" s="95"/>
      <c r="V137" s="95"/>
      <c r="W137" s="100"/>
      <c r="X137" s="95"/>
      <c r="Y137" s="63">
        <f t="shared" si="5"/>
        <v>0</v>
      </c>
      <c r="Z137" s="100"/>
      <c r="AA137" s="95"/>
      <c r="AB137" s="95"/>
      <c r="AC137" s="95"/>
      <c r="AD137" s="96"/>
      <c r="AE137" s="97"/>
      <c r="AF137" s="101"/>
    </row>
    <row r="138" spans="1:32" x14ac:dyDescent="0.25">
      <c r="A138" s="95"/>
      <c r="B138" s="95"/>
      <c r="C138" s="95"/>
      <c r="D138" s="95"/>
      <c r="E138" s="95"/>
      <c r="F138" s="95"/>
      <c r="G138" s="95"/>
      <c r="H138" s="95"/>
      <c r="I138" s="95"/>
      <c r="J138" s="96"/>
      <c r="K138" s="97"/>
      <c r="L138" s="98"/>
      <c r="M138" s="98"/>
      <c r="N138" s="99"/>
      <c r="O138" s="95"/>
      <c r="P138" s="95"/>
      <c r="Q138" s="95"/>
      <c r="R138" s="63">
        <f t="shared" si="4"/>
        <v>0</v>
      </c>
      <c r="S138" s="95"/>
      <c r="T138" s="95"/>
      <c r="U138" s="95"/>
      <c r="V138" s="95"/>
      <c r="W138" s="100"/>
      <c r="X138" s="95"/>
      <c r="Y138" s="63">
        <f t="shared" si="5"/>
        <v>0</v>
      </c>
      <c r="Z138" s="100"/>
      <c r="AA138" s="95"/>
      <c r="AB138" s="95"/>
      <c r="AC138" s="95"/>
      <c r="AD138" s="96"/>
      <c r="AE138" s="97"/>
      <c r="AF138" s="101"/>
    </row>
    <row r="139" spans="1:32" x14ac:dyDescent="0.25">
      <c r="A139" s="95"/>
      <c r="B139" s="95"/>
      <c r="C139" s="95"/>
      <c r="D139" s="95"/>
      <c r="E139" s="95"/>
      <c r="F139" s="95"/>
      <c r="G139" s="95"/>
      <c r="H139" s="95"/>
      <c r="I139" s="95"/>
      <c r="J139" s="96"/>
      <c r="K139" s="97"/>
      <c r="L139" s="98"/>
      <c r="M139" s="98"/>
      <c r="N139" s="99"/>
      <c r="O139" s="95"/>
      <c r="P139" s="95"/>
      <c r="Q139" s="95"/>
      <c r="R139" s="63">
        <f t="shared" si="4"/>
        <v>0</v>
      </c>
      <c r="S139" s="95"/>
      <c r="T139" s="95"/>
      <c r="U139" s="95"/>
      <c r="V139" s="95"/>
      <c r="W139" s="100"/>
      <c r="X139" s="95"/>
      <c r="Y139" s="63">
        <f t="shared" si="5"/>
        <v>0</v>
      </c>
      <c r="Z139" s="100"/>
      <c r="AA139" s="95"/>
      <c r="AB139" s="95"/>
      <c r="AC139" s="95"/>
      <c r="AD139" s="96"/>
      <c r="AE139" s="97"/>
      <c r="AF139" s="101"/>
    </row>
    <row r="140" spans="1:32" x14ac:dyDescent="0.25">
      <c r="A140" s="95"/>
      <c r="B140" s="95"/>
      <c r="C140" s="95"/>
      <c r="D140" s="95"/>
      <c r="E140" s="95"/>
      <c r="F140" s="95"/>
      <c r="G140" s="95"/>
      <c r="H140" s="95"/>
      <c r="I140" s="95"/>
      <c r="J140" s="96"/>
      <c r="K140" s="97"/>
      <c r="L140" s="98"/>
      <c r="M140" s="98"/>
      <c r="N140" s="99"/>
      <c r="O140" s="95"/>
      <c r="P140" s="95"/>
      <c r="Q140" s="95"/>
      <c r="R140" s="63">
        <f t="shared" si="4"/>
        <v>0</v>
      </c>
      <c r="S140" s="95"/>
      <c r="T140" s="95"/>
      <c r="U140" s="95"/>
      <c r="V140" s="95"/>
      <c r="W140" s="100"/>
      <c r="X140" s="95"/>
      <c r="Y140" s="63">
        <f t="shared" si="5"/>
        <v>0</v>
      </c>
      <c r="Z140" s="100"/>
      <c r="AA140" s="95"/>
      <c r="AB140" s="95"/>
      <c r="AC140" s="95"/>
      <c r="AD140" s="96"/>
      <c r="AE140" s="97"/>
      <c r="AF140" s="101"/>
    </row>
    <row r="141" spans="1:32" x14ac:dyDescent="0.25">
      <c r="A141" s="95"/>
      <c r="B141" s="95"/>
      <c r="C141" s="95"/>
      <c r="D141" s="95"/>
      <c r="E141" s="95"/>
      <c r="F141" s="95"/>
      <c r="G141" s="95"/>
      <c r="H141" s="95"/>
      <c r="I141" s="95"/>
      <c r="J141" s="96"/>
      <c r="K141" s="97"/>
      <c r="L141" s="98"/>
      <c r="M141" s="98"/>
      <c r="N141" s="99"/>
      <c r="O141" s="95"/>
      <c r="P141" s="95"/>
      <c r="Q141" s="95"/>
      <c r="R141" s="63">
        <f t="shared" si="4"/>
        <v>0</v>
      </c>
      <c r="S141" s="95"/>
      <c r="T141" s="95"/>
      <c r="U141" s="95"/>
      <c r="V141" s="95"/>
      <c r="W141" s="100"/>
      <c r="X141" s="95"/>
      <c r="Y141" s="63">
        <f t="shared" si="5"/>
        <v>0</v>
      </c>
      <c r="Z141" s="100"/>
      <c r="AA141" s="95"/>
      <c r="AB141" s="95"/>
      <c r="AC141" s="95"/>
      <c r="AD141" s="96"/>
      <c r="AE141" s="97"/>
      <c r="AF141" s="101"/>
    </row>
    <row r="142" spans="1:32" x14ac:dyDescent="0.25">
      <c r="A142" s="95"/>
      <c r="B142" s="95"/>
      <c r="C142" s="95"/>
      <c r="D142" s="95"/>
      <c r="E142" s="95"/>
      <c r="F142" s="95"/>
      <c r="G142" s="95"/>
      <c r="H142" s="95"/>
      <c r="I142" s="95"/>
      <c r="J142" s="96"/>
      <c r="K142" s="97"/>
      <c r="L142" s="98"/>
      <c r="M142" s="98"/>
      <c r="N142" s="99"/>
      <c r="O142" s="95"/>
      <c r="P142" s="95"/>
      <c r="Q142" s="95"/>
      <c r="R142" s="63">
        <f t="shared" si="4"/>
        <v>0</v>
      </c>
      <c r="S142" s="95"/>
      <c r="T142" s="95"/>
      <c r="U142" s="95"/>
      <c r="V142" s="95"/>
      <c r="W142" s="100"/>
      <c r="X142" s="95"/>
      <c r="Y142" s="63">
        <f t="shared" si="5"/>
        <v>0</v>
      </c>
      <c r="Z142" s="100"/>
      <c r="AA142" s="95"/>
      <c r="AB142" s="95"/>
      <c r="AC142" s="95"/>
      <c r="AD142" s="96"/>
      <c r="AE142" s="97"/>
      <c r="AF142" s="101"/>
    </row>
    <row r="143" spans="1:32" x14ac:dyDescent="0.25">
      <c r="A143" s="95"/>
      <c r="B143" s="95"/>
      <c r="C143" s="95"/>
      <c r="D143" s="95"/>
      <c r="E143" s="95"/>
      <c r="F143" s="95"/>
      <c r="G143" s="95"/>
      <c r="H143" s="95"/>
      <c r="I143" s="95"/>
      <c r="J143" s="96"/>
      <c r="K143" s="97"/>
      <c r="L143" s="98"/>
      <c r="M143" s="98"/>
      <c r="N143" s="99"/>
      <c r="O143" s="95"/>
      <c r="P143" s="95"/>
      <c r="Q143" s="95"/>
      <c r="R143" s="63">
        <f t="shared" si="4"/>
        <v>0</v>
      </c>
      <c r="S143" s="95"/>
      <c r="T143" s="95"/>
      <c r="U143" s="95"/>
      <c r="V143" s="95"/>
      <c r="W143" s="100"/>
      <c r="X143" s="95"/>
      <c r="Y143" s="63">
        <f t="shared" si="5"/>
        <v>0</v>
      </c>
      <c r="Z143" s="100"/>
      <c r="AA143" s="95"/>
      <c r="AB143" s="95"/>
      <c r="AC143" s="95"/>
      <c r="AD143" s="96"/>
      <c r="AE143" s="97"/>
      <c r="AF143" s="101"/>
    </row>
    <row r="144" spans="1:32" x14ac:dyDescent="0.25">
      <c r="A144" s="95"/>
      <c r="B144" s="95"/>
      <c r="C144" s="95"/>
      <c r="D144" s="95"/>
      <c r="E144" s="95"/>
      <c r="F144" s="95"/>
      <c r="G144" s="95"/>
      <c r="H144" s="95"/>
      <c r="I144" s="95"/>
      <c r="J144" s="96"/>
      <c r="K144" s="97"/>
      <c r="L144" s="98"/>
      <c r="M144" s="98"/>
      <c r="N144" s="99"/>
      <c r="O144" s="95"/>
      <c r="P144" s="95"/>
      <c r="Q144" s="95"/>
      <c r="R144" s="63">
        <f t="shared" si="4"/>
        <v>0</v>
      </c>
      <c r="S144" s="95"/>
      <c r="T144" s="95"/>
      <c r="U144" s="95"/>
      <c r="V144" s="95"/>
      <c r="W144" s="100"/>
      <c r="X144" s="95"/>
      <c r="Y144" s="63">
        <f t="shared" si="5"/>
        <v>0</v>
      </c>
      <c r="Z144" s="100"/>
      <c r="AA144" s="95"/>
      <c r="AB144" s="95"/>
      <c r="AC144" s="95"/>
      <c r="AD144" s="96"/>
      <c r="AE144" s="97"/>
      <c r="AF144" s="101"/>
    </row>
    <row r="145" spans="1:32" x14ac:dyDescent="0.25">
      <c r="A145" s="95"/>
      <c r="B145" s="95"/>
      <c r="C145" s="95"/>
      <c r="D145" s="95"/>
      <c r="E145" s="95"/>
      <c r="F145" s="95"/>
      <c r="G145" s="95"/>
      <c r="H145" s="95"/>
      <c r="I145" s="95"/>
      <c r="J145" s="96"/>
      <c r="K145" s="97"/>
      <c r="L145" s="98"/>
      <c r="M145" s="98"/>
      <c r="N145" s="99"/>
      <c r="O145" s="95"/>
      <c r="P145" s="95"/>
      <c r="Q145" s="95"/>
      <c r="R145" s="63">
        <f t="shared" si="4"/>
        <v>0</v>
      </c>
      <c r="S145" s="95"/>
      <c r="T145" s="95"/>
      <c r="U145" s="95"/>
      <c r="V145" s="95"/>
      <c r="W145" s="100"/>
      <c r="X145" s="95"/>
      <c r="Y145" s="63">
        <f t="shared" si="5"/>
        <v>0</v>
      </c>
      <c r="Z145" s="100"/>
      <c r="AA145" s="95"/>
      <c r="AB145" s="95"/>
      <c r="AC145" s="95"/>
      <c r="AD145" s="96"/>
      <c r="AE145" s="97"/>
      <c r="AF145" s="101"/>
    </row>
    <row r="146" spans="1:32" x14ac:dyDescent="0.25">
      <c r="A146" s="95"/>
      <c r="B146" s="95"/>
      <c r="C146" s="95"/>
      <c r="D146" s="95"/>
      <c r="E146" s="95"/>
      <c r="F146" s="95"/>
      <c r="G146" s="95"/>
      <c r="H146" s="95"/>
      <c r="I146" s="95"/>
      <c r="J146" s="96"/>
      <c r="K146" s="97"/>
      <c r="L146" s="98"/>
      <c r="M146" s="98"/>
      <c r="N146" s="99"/>
      <c r="O146" s="95"/>
      <c r="P146" s="95"/>
      <c r="Q146" s="95"/>
      <c r="R146" s="63">
        <f t="shared" si="4"/>
        <v>0</v>
      </c>
      <c r="S146" s="95"/>
      <c r="T146" s="95"/>
      <c r="U146" s="95"/>
      <c r="V146" s="95"/>
      <c r="W146" s="100"/>
      <c r="X146" s="95"/>
      <c r="Y146" s="63">
        <f t="shared" si="5"/>
        <v>0</v>
      </c>
      <c r="Z146" s="100"/>
      <c r="AA146" s="95"/>
      <c r="AB146" s="95"/>
      <c r="AC146" s="95"/>
      <c r="AD146" s="96"/>
      <c r="AE146" s="97"/>
      <c r="AF146" s="101"/>
    </row>
    <row r="147" spans="1:32" x14ac:dyDescent="0.25">
      <c r="A147" s="95"/>
      <c r="B147" s="95"/>
      <c r="C147" s="95"/>
      <c r="D147" s="95"/>
      <c r="E147" s="95"/>
      <c r="F147" s="95"/>
      <c r="G147" s="95"/>
      <c r="H147" s="95"/>
      <c r="I147" s="95"/>
      <c r="J147" s="96"/>
      <c r="K147" s="97"/>
      <c r="L147" s="98"/>
      <c r="M147" s="98"/>
      <c r="N147" s="99"/>
      <c r="O147" s="95"/>
      <c r="P147" s="95"/>
      <c r="Q147" s="95"/>
      <c r="R147" s="63">
        <f t="shared" si="4"/>
        <v>0</v>
      </c>
      <c r="S147" s="95"/>
      <c r="T147" s="95"/>
      <c r="U147" s="95"/>
      <c r="V147" s="95"/>
      <c r="W147" s="100"/>
      <c r="X147" s="95"/>
      <c r="Y147" s="63">
        <f t="shared" si="5"/>
        <v>0</v>
      </c>
      <c r="Z147" s="100"/>
      <c r="AA147" s="95"/>
      <c r="AB147" s="95"/>
      <c r="AC147" s="95"/>
      <c r="AD147" s="96"/>
      <c r="AE147" s="97"/>
      <c r="AF147" s="101"/>
    </row>
    <row r="148" spans="1:32" x14ac:dyDescent="0.25">
      <c r="A148" s="95"/>
      <c r="B148" s="95"/>
      <c r="C148" s="95"/>
      <c r="D148" s="95"/>
      <c r="E148" s="95"/>
      <c r="F148" s="95"/>
      <c r="G148" s="95"/>
      <c r="H148" s="95"/>
      <c r="I148" s="95"/>
      <c r="J148" s="96"/>
      <c r="K148" s="97"/>
      <c r="L148" s="98"/>
      <c r="M148" s="98"/>
      <c r="N148" s="99"/>
      <c r="O148" s="95"/>
      <c r="P148" s="95"/>
      <c r="Q148" s="95"/>
      <c r="R148" s="63">
        <f t="shared" si="4"/>
        <v>0</v>
      </c>
      <c r="S148" s="95"/>
      <c r="T148" s="95"/>
      <c r="U148" s="95"/>
      <c r="V148" s="95"/>
      <c r="W148" s="100"/>
      <c r="X148" s="95"/>
      <c r="Y148" s="63">
        <f t="shared" si="5"/>
        <v>0</v>
      </c>
      <c r="Z148" s="100"/>
      <c r="AA148" s="95"/>
      <c r="AB148" s="95"/>
      <c r="AC148" s="95"/>
      <c r="AD148" s="96"/>
      <c r="AE148" s="97"/>
      <c r="AF148" s="101"/>
    </row>
    <row r="149" spans="1:32" x14ac:dyDescent="0.25">
      <c r="A149" s="95"/>
      <c r="B149" s="95"/>
      <c r="C149" s="95"/>
      <c r="D149" s="95"/>
      <c r="E149" s="95"/>
      <c r="F149" s="95"/>
      <c r="G149" s="95"/>
      <c r="H149" s="95"/>
      <c r="I149" s="95"/>
      <c r="J149" s="96"/>
      <c r="K149" s="97"/>
      <c r="L149" s="98"/>
      <c r="M149" s="98"/>
      <c r="N149" s="99"/>
      <c r="O149" s="95"/>
      <c r="P149" s="95"/>
      <c r="Q149" s="95"/>
      <c r="R149" s="63">
        <f t="shared" si="4"/>
        <v>0</v>
      </c>
      <c r="S149" s="95"/>
      <c r="T149" s="95"/>
      <c r="U149" s="95"/>
      <c r="V149" s="95"/>
      <c r="W149" s="100"/>
      <c r="X149" s="95"/>
      <c r="Y149" s="63">
        <f t="shared" si="5"/>
        <v>0</v>
      </c>
      <c r="Z149" s="100"/>
      <c r="AA149" s="95"/>
      <c r="AB149" s="95"/>
      <c r="AC149" s="95"/>
      <c r="AD149" s="96"/>
      <c r="AE149" s="97"/>
      <c r="AF149" s="101"/>
    </row>
    <row r="150" spans="1:32" x14ac:dyDescent="0.25">
      <c r="A150" s="95"/>
      <c r="B150" s="95"/>
      <c r="C150" s="95"/>
      <c r="D150" s="95"/>
      <c r="E150" s="95"/>
      <c r="F150" s="95"/>
      <c r="G150" s="95"/>
      <c r="H150" s="95"/>
      <c r="I150" s="95"/>
      <c r="J150" s="96"/>
      <c r="K150" s="97"/>
      <c r="L150" s="98"/>
      <c r="M150" s="98"/>
      <c r="N150" s="99"/>
      <c r="O150" s="95"/>
      <c r="P150" s="95"/>
      <c r="Q150" s="95"/>
      <c r="R150" s="63">
        <f t="shared" si="4"/>
        <v>0</v>
      </c>
      <c r="S150" s="95"/>
      <c r="T150" s="95"/>
      <c r="U150" s="95"/>
      <c r="V150" s="95"/>
      <c r="W150" s="100"/>
      <c r="X150" s="95"/>
      <c r="Y150" s="63">
        <f t="shared" si="5"/>
        <v>0</v>
      </c>
      <c r="Z150" s="100"/>
      <c r="AA150" s="95"/>
      <c r="AB150" s="95"/>
      <c r="AC150" s="95"/>
      <c r="AD150" s="96"/>
      <c r="AE150" s="97"/>
      <c r="AF150" s="101"/>
    </row>
    <row r="151" spans="1:32" x14ac:dyDescent="0.25">
      <c r="A151" s="95"/>
      <c r="B151" s="95"/>
      <c r="C151" s="95"/>
      <c r="D151" s="95"/>
      <c r="E151" s="95"/>
      <c r="F151" s="95"/>
      <c r="G151" s="95"/>
      <c r="H151" s="95"/>
      <c r="I151" s="95"/>
      <c r="J151" s="96"/>
      <c r="K151" s="97"/>
      <c r="L151" s="98"/>
      <c r="M151" s="98"/>
      <c r="N151" s="99"/>
      <c r="O151" s="95"/>
      <c r="P151" s="95"/>
      <c r="Q151" s="95"/>
      <c r="R151" s="63">
        <f t="shared" si="4"/>
        <v>0</v>
      </c>
      <c r="S151" s="95"/>
      <c r="T151" s="95"/>
      <c r="U151" s="95"/>
      <c r="V151" s="95"/>
      <c r="W151" s="100"/>
      <c r="X151" s="95"/>
      <c r="Y151" s="63">
        <f t="shared" si="5"/>
        <v>0</v>
      </c>
      <c r="Z151" s="100"/>
      <c r="AA151" s="95"/>
      <c r="AB151" s="95"/>
      <c r="AC151" s="95"/>
      <c r="AD151" s="96"/>
      <c r="AE151" s="97"/>
      <c r="AF151" s="101"/>
    </row>
    <row r="152" spans="1:32" x14ac:dyDescent="0.25">
      <c r="A152" s="95"/>
      <c r="B152" s="95"/>
      <c r="C152" s="95"/>
      <c r="D152" s="95"/>
      <c r="E152" s="95"/>
      <c r="F152" s="95"/>
      <c r="G152" s="95"/>
      <c r="H152" s="95"/>
      <c r="I152" s="95"/>
      <c r="J152" s="96"/>
      <c r="K152" s="97"/>
      <c r="L152" s="98"/>
      <c r="M152" s="98"/>
      <c r="N152" s="99"/>
      <c r="O152" s="95"/>
      <c r="P152" s="95"/>
      <c r="Q152" s="95"/>
      <c r="R152" s="63">
        <f t="shared" si="4"/>
        <v>0</v>
      </c>
      <c r="S152" s="95"/>
      <c r="T152" s="95"/>
      <c r="U152" s="95"/>
      <c r="V152" s="95"/>
      <c r="W152" s="100"/>
      <c r="X152" s="95"/>
      <c r="Y152" s="63">
        <f t="shared" si="5"/>
        <v>0</v>
      </c>
      <c r="Z152" s="100"/>
      <c r="AA152" s="95"/>
      <c r="AB152" s="95"/>
      <c r="AC152" s="95"/>
      <c r="AD152" s="96"/>
      <c r="AE152" s="97"/>
      <c r="AF152" s="101"/>
    </row>
    <row r="153" spans="1:32" x14ac:dyDescent="0.25">
      <c r="A153" s="95"/>
      <c r="B153" s="95"/>
      <c r="C153" s="95"/>
      <c r="D153" s="95"/>
      <c r="E153" s="95"/>
      <c r="F153" s="95"/>
      <c r="G153" s="95"/>
      <c r="H153" s="95"/>
      <c r="I153" s="95"/>
      <c r="J153" s="96"/>
      <c r="K153" s="97"/>
      <c r="L153" s="98"/>
      <c r="M153" s="98"/>
      <c r="N153" s="99"/>
      <c r="O153" s="95"/>
      <c r="P153" s="95"/>
      <c r="Q153" s="95"/>
      <c r="R153" s="63">
        <f t="shared" si="4"/>
        <v>0</v>
      </c>
      <c r="S153" s="95"/>
      <c r="T153" s="95"/>
      <c r="U153" s="95"/>
      <c r="V153" s="95"/>
      <c r="W153" s="100"/>
      <c r="X153" s="95"/>
      <c r="Y153" s="63">
        <f t="shared" si="5"/>
        <v>0</v>
      </c>
      <c r="Z153" s="100"/>
      <c r="AA153" s="95"/>
      <c r="AB153" s="95"/>
      <c r="AC153" s="95"/>
      <c r="AD153" s="96"/>
      <c r="AE153" s="97"/>
      <c r="AF153" s="101"/>
    </row>
    <row r="154" spans="1:32" x14ac:dyDescent="0.25">
      <c r="A154" s="95"/>
      <c r="B154" s="95"/>
      <c r="C154" s="95"/>
      <c r="D154" s="95"/>
      <c r="E154" s="95"/>
      <c r="F154" s="95"/>
      <c r="G154" s="95"/>
      <c r="H154" s="95"/>
      <c r="I154" s="95"/>
      <c r="J154" s="96"/>
      <c r="K154" s="97"/>
      <c r="L154" s="98"/>
      <c r="M154" s="98"/>
      <c r="N154" s="99"/>
      <c r="O154" s="95"/>
      <c r="P154" s="95"/>
      <c r="Q154" s="95"/>
      <c r="R154" s="63">
        <f t="shared" si="4"/>
        <v>0</v>
      </c>
      <c r="S154" s="95"/>
      <c r="T154" s="95"/>
      <c r="U154" s="95"/>
      <c r="V154" s="95"/>
      <c r="W154" s="100"/>
      <c r="X154" s="95"/>
      <c r="Y154" s="63">
        <f t="shared" si="5"/>
        <v>0</v>
      </c>
      <c r="Z154" s="100"/>
      <c r="AA154" s="95"/>
      <c r="AB154" s="95"/>
      <c r="AC154" s="95"/>
      <c r="AD154" s="96"/>
      <c r="AE154" s="97"/>
      <c r="AF154" s="101"/>
    </row>
    <row r="155" spans="1:32" x14ac:dyDescent="0.25">
      <c r="A155" s="95"/>
      <c r="B155" s="95"/>
      <c r="C155" s="95"/>
      <c r="D155" s="95"/>
      <c r="E155" s="95"/>
      <c r="F155" s="95"/>
      <c r="G155" s="95"/>
      <c r="H155" s="95"/>
      <c r="I155" s="95"/>
      <c r="J155" s="96"/>
      <c r="K155" s="97"/>
      <c r="L155" s="98"/>
      <c r="M155" s="98"/>
      <c r="N155" s="99"/>
      <c r="O155" s="95"/>
      <c r="P155" s="95"/>
      <c r="Q155" s="95"/>
      <c r="R155" s="63">
        <f t="shared" si="4"/>
        <v>0</v>
      </c>
      <c r="S155" s="95"/>
      <c r="T155" s="95"/>
      <c r="U155" s="95"/>
      <c r="V155" s="95"/>
      <c r="W155" s="100"/>
      <c r="X155" s="95"/>
      <c r="Y155" s="63">
        <f t="shared" si="5"/>
        <v>0</v>
      </c>
      <c r="Z155" s="100"/>
      <c r="AA155" s="95"/>
      <c r="AB155" s="95"/>
      <c r="AC155" s="95"/>
      <c r="AD155" s="96"/>
      <c r="AE155" s="97"/>
      <c r="AF155" s="101"/>
    </row>
    <row r="156" spans="1:32" x14ac:dyDescent="0.25">
      <c r="A156" s="95"/>
      <c r="B156" s="95"/>
      <c r="C156" s="95"/>
      <c r="D156" s="95"/>
      <c r="E156" s="95"/>
      <c r="F156" s="95"/>
      <c r="G156" s="95"/>
      <c r="H156" s="95"/>
      <c r="I156" s="95"/>
      <c r="J156" s="96"/>
      <c r="K156" s="97"/>
      <c r="L156" s="98"/>
      <c r="M156" s="98"/>
      <c r="N156" s="99"/>
      <c r="O156" s="95"/>
      <c r="P156" s="95"/>
      <c r="Q156" s="95"/>
      <c r="R156" s="63">
        <f t="shared" si="4"/>
        <v>0</v>
      </c>
      <c r="S156" s="95"/>
      <c r="T156" s="95"/>
      <c r="U156" s="95"/>
      <c r="V156" s="95"/>
      <c r="W156" s="100"/>
      <c r="X156" s="95"/>
      <c r="Y156" s="63">
        <f t="shared" si="5"/>
        <v>0</v>
      </c>
      <c r="Z156" s="100"/>
      <c r="AA156" s="95"/>
      <c r="AB156" s="95"/>
      <c r="AC156" s="95"/>
      <c r="AD156" s="96"/>
      <c r="AE156" s="97"/>
      <c r="AF156" s="101"/>
    </row>
    <row r="157" spans="1:32" x14ac:dyDescent="0.25">
      <c r="A157" s="95"/>
      <c r="B157" s="95"/>
      <c r="C157" s="95"/>
      <c r="D157" s="95"/>
      <c r="E157" s="95"/>
      <c r="F157" s="95"/>
      <c r="G157" s="95"/>
      <c r="H157" s="95"/>
      <c r="I157" s="95"/>
      <c r="J157" s="96"/>
      <c r="K157" s="97"/>
      <c r="L157" s="98"/>
      <c r="M157" s="98"/>
      <c r="N157" s="99"/>
      <c r="O157" s="95"/>
      <c r="P157" s="95"/>
      <c r="Q157" s="95"/>
      <c r="R157" s="63">
        <f t="shared" si="4"/>
        <v>0</v>
      </c>
      <c r="S157" s="95"/>
      <c r="T157" s="95"/>
      <c r="U157" s="95"/>
      <c r="V157" s="95"/>
      <c r="W157" s="100"/>
      <c r="X157" s="95"/>
      <c r="Y157" s="63">
        <f t="shared" si="5"/>
        <v>0</v>
      </c>
      <c r="Z157" s="100"/>
      <c r="AA157" s="95"/>
      <c r="AB157" s="95"/>
      <c r="AC157" s="95"/>
      <c r="AD157" s="96"/>
      <c r="AE157" s="97"/>
      <c r="AF157" s="101"/>
    </row>
    <row r="158" spans="1:32" x14ac:dyDescent="0.25">
      <c r="A158" s="95"/>
      <c r="B158" s="95"/>
      <c r="C158" s="95"/>
      <c r="D158" s="95"/>
      <c r="E158" s="95"/>
      <c r="F158" s="95"/>
      <c r="G158" s="95"/>
      <c r="H158" s="95"/>
      <c r="I158" s="95"/>
      <c r="J158" s="96"/>
      <c r="K158" s="97"/>
      <c r="L158" s="98"/>
      <c r="M158" s="98"/>
      <c r="N158" s="99"/>
      <c r="O158" s="95"/>
      <c r="P158" s="95"/>
      <c r="Q158" s="95"/>
      <c r="R158" s="63">
        <f t="shared" si="4"/>
        <v>0</v>
      </c>
      <c r="S158" s="95"/>
      <c r="T158" s="95"/>
      <c r="U158" s="95"/>
      <c r="V158" s="95"/>
      <c r="W158" s="100"/>
      <c r="X158" s="95"/>
      <c r="Y158" s="63">
        <f t="shared" si="5"/>
        <v>0</v>
      </c>
      <c r="Z158" s="100"/>
      <c r="AA158" s="95"/>
      <c r="AB158" s="95"/>
      <c r="AC158" s="95"/>
      <c r="AD158" s="96"/>
      <c r="AE158" s="97"/>
      <c r="AF158" s="101"/>
    </row>
    <row r="159" spans="1:32" x14ac:dyDescent="0.25">
      <c r="A159" s="95"/>
      <c r="B159" s="95"/>
      <c r="C159" s="95"/>
      <c r="D159" s="95"/>
      <c r="E159" s="95"/>
      <c r="F159" s="95"/>
      <c r="G159" s="95"/>
      <c r="H159" s="95"/>
      <c r="I159" s="95"/>
      <c r="J159" s="96"/>
      <c r="K159" s="97"/>
      <c r="L159" s="98"/>
      <c r="M159" s="98"/>
      <c r="N159" s="99"/>
      <c r="O159" s="95"/>
      <c r="P159" s="95"/>
      <c r="Q159" s="95"/>
      <c r="R159" s="63">
        <f t="shared" si="4"/>
        <v>0</v>
      </c>
      <c r="S159" s="95"/>
      <c r="T159" s="95"/>
      <c r="U159" s="95"/>
      <c r="V159" s="95"/>
      <c r="W159" s="100"/>
      <c r="X159" s="95"/>
      <c r="Y159" s="63">
        <f t="shared" si="5"/>
        <v>0</v>
      </c>
      <c r="Z159" s="100"/>
      <c r="AA159" s="95"/>
      <c r="AB159" s="95"/>
      <c r="AC159" s="95"/>
      <c r="AD159" s="96"/>
      <c r="AE159" s="97"/>
      <c r="AF159" s="101"/>
    </row>
    <row r="160" spans="1:32" x14ac:dyDescent="0.25">
      <c r="A160" s="95"/>
      <c r="B160" s="95"/>
      <c r="C160" s="95"/>
      <c r="D160" s="95"/>
      <c r="E160" s="95"/>
      <c r="F160" s="95"/>
      <c r="G160" s="95"/>
      <c r="H160" s="95"/>
      <c r="I160" s="95"/>
      <c r="J160" s="96"/>
      <c r="K160" s="97"/>
      <c r="L160" s="98"/>
      <c r="M160" s="98"/>
      <c r="N160" s="99"/>
      <c r="O160" s="95"/>
      <c r="P160" s="95"/>
      <c r="Q160" s="95"/>
      <c r="R160" s="63">
        <f t="shared" si="4"/>
        <v>0</v>
      </c>
      <c r="S160" s="95"/>
      <c r="T160" s="95"/>
      <c r="U160" s="95"/>
      <c r="V160" s="95"/>
      <c r="W160" s="100"/>
      <c r="X160" s="95"/>
      <c r="Y160" s="63">
        <f t="shared" si="5"/>
        <v>0</v>
      </c>
      <c r="Z160" s="100"/>
      <c r="AA160" s="95"/>
      <c r="AB160" s="95"/>
      <c r="AC160" s="95"/>
      <c r="AD160" s="96"/>
      <c r="AE160" s="97"/>
      <c r="AF160" s="101"/>
    </row>
    <row r="161" spans="1:32" x14ac:dyDescent="0.25">
      <c r="A161" s="95"/>
      <c r="B161" s="95"/>
      <c r="C161" s="95"/>
      <c r="D161" s="95"/>
      <c r="E161" s="95"/>
      <c r="F161" s="95"/>
      <c r="G161" s="95"/>
      <c r="H161" s="95"/>
      <c r="I161" s="95"/>
      <c r="J161" s="96"/>
      <c r="K161" s="97"/>
      <c r="L161" s="98"/>
      <c r="M161" s="98"/>
      <c r="N161" s="99"/>
      <c r="O161" s="95"/>
      <c r="P161" s="95"/>
      <c r="Q161" s="95"/>
      <c r="R161" s="63">
        <f t="shared" si="4"/>
        <v>0</v>
      </c>
      <c r="S161" s="95"/>
      <c r="T161" s="95"/>
      <c r="U161" s="95"/>
      <c r="V161" s="95"/>
      <c r="W161" s="100"/>
      <c r="X161" s="95"/>
      <c r="Y161" s="63">
        <f t="shared" si="5"/>
        <v>0</v>
      </c>
      <c r="Z161" s="100"/>
      <c r="AA161" s="95"/>
      <c r="AB161" s="95"/>
      <c r="AC161" s="95"/>
      <c r="AD161" s="96"/>
      <c r="AE161" s="97"/>
      <c r="AF161" s="101"/>
    </row>
    <row r="162" spans="1:32" x14ac:dyDescent="0.25">
      <c r="A162" s="95"/>
      <c r="B162" s="95"/>
      <c r="C162" s="95"/>
      <c r="D162" s="95"/>
      <c r="E162" s="95"/>
      <c r="F162" s="95"/>
      <c r="G162" s="95"/>
      <c r="H162" s="95"/>
      <c r="I162" s="95"/>
      <c r="J162" s="96"/>
      <c r="K162" s="97"/>
      <c r="L162" s="98"/>
      <c r="M162" s="98"/>
      <c r="N162" s="99"/>
      <c r="O162" s="95"/>
      <c r="P162" s="95"/>
      <c r="Q162" s="95"/>
      <c r="R162" s="63">
        <f t="shared" si="4"/>
        <v>0</v>
      </c>
      <c r="S162" s="95"/>
      <c r="T162" s="95"/>
      <c r="U162" s="95"/>
      <c r="V162" s="95"/>
      <c r="W162" s="100"/>
      <c r="X162" s="95"/>
      <c r="Y162" s="63">
        <f t="shared" si="5"/>
        <v>0</v>
      </c>
      <c r="Z162" s="100"/>
      <c r="AA162" s="95"/>
      <c r="AB162" s="95"/>
      <c r="AC162" s="95"/>
      <c r="AD162" s="96"/>
      <c r="AE162" s="97"/>
      <c r="AF162" s="101"/>
    </row>
    <row r="163" spans="1:32" x14ac:dyDescent="0.25">
      <c r="A163" s="95"/>
      <c r="B163" s="95"/>
      <c r="C163" s="95"/>
      <c r="D163" s="95"/>
      <c r="E163" s="95"/>
      <c r="F163" s="95"/>
      <c r="G163" s="95"/>
      <c r="H163" s="95"/>
      <c r="I163" s="95"/>
      <c r="J163" s="96"/>
      <c r="K163" s="97"/>
      <c r="L163" s="98"/>
      <c r="M163" s="98"/>
      <c r="N163" s="99"/>
      <c r="O163" s="95"/>
      <c r="P163" s="95"/>
      <c r="Q163" s="95"/>
      <c r="R163" s="63">
        <f t="shared" si="4"/>
        <v>0</v>
      </c>
      <c r="S163" s="95"/>
      <c r="T163" s="95"/>
      <c r="U163" s="95"/>
      <c r="V163" s="95"/>
      <c r="W163" s="100"/>
      <c r="X163" s="95"/>
      <c r="Y163" s="63">
        <f t="shared" si="5"/>
        <v>0</v>
      </c>
      <c r="Z163" s="100"/>
      <c r="AA163" s="95"/>
      <c r="AB163" s="95"/>
      <c r="AC163" s="95"/>
      <c r="AD163" s="96"/>
      <c r="AE163" s="97"/>
      <c r="AF163" s="101"/>
    </row>
    <row r="164" spans="1:32" x14ac:dyDescent="0.25">
      <c r="A164" s="95"/>
      <c r="B164" s="95"/>
      <c r="C164" s="95"/>
      <c r="D164" s="95"/>
      <c r="E164" s="95"/>
      <c r="F164" s="95"/>
      <c r="G164" s="95"/>
      <c r="H164" s="95"/>
      <c r="I164" s="95"/>
      <c r="J164" s="96"/>
      <c r="K164" s="97"/>
      <c r="L164" s="98"/>
      <c r="M164" s="98"/>
      <c r="N164" s="99"/>
      <c r="O164" s="95"/>
      <c r="P164" s="95"/>
      <c r="Q164" s="95"/>
      <c r="R164" s="63">
        <f t="shared" si="4"/>
        <v>0</v>
      </c>
      <c r="S164" s="95"/>
      <c r="T164" s="95"/>
      <c r="U164" s="95"/>
      <c r="V164" s="95"/>
      <c r="W164" s="100"/>
      <c r="X164" s="95"/>
      <c r="Y164" s="63">
        <f t="shared" si="5"/>
        <v>0</v>
      </c>
      <c r="Z164" s="100"/>
      <c r="AA164" s="95"/>
      <c r="AB164" s="95"/>
      <c r="AC164" s="95"/>
      <c r="AD164" s="96"/>
      <c r="AE164" s="97"/>
      <c r="AF164" s="101"/>
    </row>
    <row r="165" spans="1:32" x14ac:dyDescent="0.25">
      <c r="A165" s="95"/>
      <c r="B165" s="95"/>
      <c r="C165" s="95"/>
      <c r="D165" s="95"/>
      <c r="E165" s="95"/>
      <c r="F165" s="95"/>
      <c r="G165" s="95"/>
      <c r="H165" s="95"/>
      <c r="I165" s="95"/>
      <c r="J165" s="96"/>
      <c r="K165" s="97"/>
      <c r="L165" s="98"/>
      <c r="M165" s="98"/>
      <c r="N165" s="99"/>
      <c r="O165" s="95"/>
      <c r="P165" s="95"/>
      <c r="Q165" s="95"/>
      <c r="R165" s="63">
        <f t="shared" si="4"/>
        <v>0</v>
      </c>
      <c r="S165" s="95"/>
      <c r="T165" s="95"/>
      <c r="U165" s="95"/>
      <c r="V165" s="95"/>
      <c r="W165" s="100"/>
      <c r="X165" s="95"/>
      <c r="Y165" s="63">
        <f t="shared" si="5"/>
        <v>0</v>
      </c>
      <c r="Z165" s="100"/>
      <c r="AA165" s="95"/>
      <c r="AB165" s="95"/>
      <c r="AC165" s="95"/>
      <c r="AD165" s="96"/>
      <c r="AE165" s="97"/>
      <c r="AF165" s="101"/>
    </row>
    <row r="166" spans="1:32" x14ac:dyDescent="0.25">
      <c r="A166" s="95"/>
      <c r="B166" s="95"/>
      <c r="C166" s="95"/>
      <c r="D166" s="95"/>
      <c r="E166" s="95"/>
      <c r="F166" s="95"/>
      <c r="G166" s="95"/>
      <c r="H166" s="95"/>
      <c r="I166" s="95"/>
      <c r="J166" s="96"/>
      <c r="K166" s="97"/>
      <c r="L166" s="98"/>
      <c r="M166" s="98"/>
      <c r="N166" s="99"/>
      <c r="O166" s="95"/>
      <c r="P166" s="95"/>
      <c r="Q166" s="95"/>
      <c r="R166" s="63">
        <f t="shared" si="4"/>
        <v>0</v>
      </c>
      <c r="S166" s="95"/>
      <c r="T166" s="95"/>
      <c r="U166" s="95"/>
      <c r="V166" s="95"/>
      <c r="W166" s="100"/>
      <c r="X166" s="95"/>
      <c r="Y166" s="63">
        <f t="shared" si="5"/>
        <v>0</v>
      </c>
      <c r="Z166" s="100"/>
      <c r="AA166" s="95"/>
      <c r="AB166" s="95"/>
      <c r="AC166" s="95"/>
      <c r="AD166" s="96"/>
      <c r="AE166" s="97"/>
      <c r="AF166" s="101"/>
    </row>
    <row r="167" spans="1:32" x14ac:dyDescent="0.25">
      <c r="A167" s="95"/>
      <c r="B167" s="95"/>
      <c r="C167" s="95"/>
      <c r="D167" s="95"/>
      <c r="E167" s="95"/>
      <c r="F167" s="95"/>
      <c r="G167" s="95"/>
      <c r="H167" s="95"/>
      <c r="I167" s="95"/>
      <c r="J167" s="96"/>
      <c r="K167" s="97"/>
      <c r="L167" s="98"/>
      <c r="M167" s="98"/>
      <c r="N167" s="99"/>
      <c r="O167" s="95"/>
      <c r="P167" s="95"/>
      <c r="Q167" s="95"/>
      <c r="R167" s="63">
        <f t="shared" si="4"/>
        <v>0</v>
      </c>
      <c r="S167" s="95"/>
      <c r="T167" s="95"/>
      <c r="U167" s="95"/>
      <c r="V167" s="95"/>
      <c r="W167" s="100"/>
      <c r="X167" s="95"/>
      <c r="Y167" s="63">
        <f t="shared" si="5"/>
        <v>0</v>
      </c>
      <c r="Z167" s="100"/>
      <c r="AA167" s="95"/>
      <c r="AB167" s="95"/>
      <c r="AC167" s="95"/>
      <c r="AD167" s="96"/>
      <c r="AE167" s="97"/>
      <c r="AF167" s="101"/>
    </row>
    <row r="168" spans="1:32" x14ac:dyDescent="0.25">
      <c r="A168" s="95"/>
      <c r="B168" s="95"/>
      <c r="C168" s="95"/>
      <c r="D168" s="95"/>
      <c r="E168" s="95"/>
      <c r="F168" s="95"/>
      <c r="G168" s="95"/>
      <c r="H168" s="95"/>
      <c r="I168" s="95"/>
      <c r="J168" s="96"/>
      <c r="K168" s="97"/>
      <c r="L168" s="98"/>
      <c r="M168" s="98"/>
      <c r="N168" s="99"/>
      <c r="O168" s="95"/>
      <c r="P168" s="95"/>
      <c r="Q168" s="95"/>
      <c r="R168" s="63">
        <f t="shared" si="4"/>
        <v>0</v>
      </c>
      <c r="S168" s="95"/>
      <c r="T168" s="95"/>
      <c r="U168" s="95"/>
      <c r="V168" s="95"/>
      <c r="W168" s="100"/>
      <c r="X168" s="95"/>
      <c r="Y168" s="63">
        <f t="shared" si="5"/>
        <v>0</v>
      </c>
      <c r="Z168" s="100"/>
      <c r="AA168" s="95"/>
      <c r="AB168" s="95"/>
      <c r="AC168" s="95"/>
      <c r="AD168" s="96"/>
      <c r="AE168" s="97"/>
      <c r="AF168" s="101"/>
    </row>
    <row r="169" spans="1:32" x14ac:dyDescent="0.25">
      <c r="A169" s="95"/>
      <c r="B169" s="95"/>
      <c r="C169" s="95"/>
      <c r="D169" s="95"/>
      <c r="E169" s="95"/>
      <c r="F169" s="95"/>
      <c r="G169" s="95"/>
      <c r="H169" s="95"/>
      <c r="I169" s="95"/>
      <c r="J169" s="96"/>
      <c r="K169" s="97"/>
      <c r="L169" s="98"/>
      <c r="M169" s="98"/>
      <c r="N169" s="99"/>
      <c r="O169" s="95"/>
      <c r="P169" s="95"/>
      <c r="Q169" s="95"/>
      <c r="R169" s="63">
        <f t="shared" si="4"/>
        <v>0</v>
      </c>
      <c r="S169" s="95"/>
      <c r="T169" s="95"/>
      <c r="U169" s="95"/>
      <c r="V169" s="95"/>
      <c r="W169" s="100"/>
      <c r="X169" s="95"/>
      <c r="Y169" s="63">
        <f t="shared" si="5"/>
        <v>0</v>
      </c>
      <c r="Z169" s="100"/>
      <c r="AA169" s="95"/>
      <c r="AB169" s="95"/>
      <c r="AC169" s="95"/>
      <c r="AD169" s="96"/>
      <c r="AE169" s="97"/>
      <c r="AF169" s="101"/>
    </row>
    <row r="170" spans="1:32" x14ac:dyDescent="0.25">
      <c r="A170" s="95"/>
      <c r="B170" s="95"/>
      <c r="C170" s="95"/>
      <c r="D170" s="95"/>
      <c r="E170" s="95"/>
      <c r="F170" s="95"/>
      <c r="G170" s="95"/>
      <c r="H170" s="95"/>
      <c r="I170" s="95"/>
      <c r="J170" s="96"/>
      <c r="K170" s="97"/>
      <c r="L170" s="98"/>
      <c r="M170" s="98"/>
      <c r="N170" s="99"/>
      <c r="O170" s="95"/>
      <c r="P170" s="95"/>
      <c r="Q170" s="95"/>
      <c r="R170" s="63">
        <f t="shared" si="4"/>
        <v>0</v>
      </c>
      <c r="S170" s="95"/>
      <c r="T170" s="95"/>
      <c r="U170" s="95"/>
      <c r="V170" s="95"/>
      <c r="W170" s="100"/>
      <c r="X170" s="95"/>
      <c r="Y170" s="63">
        <f t="shared" si="5"/>
        <v>0</v>
      </c>
      <c r="Z170" s="100"/>
      <c r="AA170" s="95"/>
      <c r="AB170" s="95"/>
      <c r="AC170" s="95"/>
      <c r="AD170" s="96"/>
      <c r="AE170" s="97"/>
      <c r="AF170" s="101"/>
    </row>
    <row r="171" spans="1:32" x14ac:dyDescent="0.25">
      <c r="A171" s="95"/>
      <c r="B171" s="95"/>
      <c r="C171" s="95"/>
      <c r="D171" s="95"/>
      <c r="E171" s="95"/>
      <c r="F171" s="95"/>
      <c r="G171" s="95"/>
      <c r="H171" s="95"/>
      <c r="I171" s="95"/>
      <c r="J171" s="96"/>
      <c r="K171" s="97"/>
      <c r="L171" s="98"/>
      <c r="M171" s="98"/>
      <c r="N171" s="99"/>
      <c r="O171" s="95"/>
      <c r="P171" s="95"/>
      <c r="Q171" s="95"/>
      <c r="R171" s="63">
        <f t="shared" si="4"/>
        <v>0</v>
      </c>
      <c r="S171" s="95"/>
      <c r="T171" s="95"/>
      <c r="U171" s="95"/>
      <c r="V171" s="95"/>
      <c r="W171" s="100"/>
      <c r="X171" s="95"/>
      <c r="Y171" s="63">
        <f t="shared" si="5"/>
        <v>0</v>
      </c>
      <c r="Z171" s="100"/>
      <c r="AA171" s="95"/>
      <c r="AB171" s="95"/>
      <c r="AC171" s="95"/>
      <c r="AD171" s="96"/>
      <c r="AE171" s="97"/>
      <c r="AF171" s="101"/>
    </row>
    <row r="172" spans="1:32" x14ac:dyDescent="0.25">
      <c r="A172" s="95"/>
      <c r="B172" s="95"/>
      <c r="C172" s="95"/>
      <c r="D172" s="95"/>
      <c r="E172" s="95"/>
      <c r="F172" s="95"/>
      <c r="G172" s="95"/>
      <c r="H172" s="95"/>
      <c r="I172" s="95"/>
      <c r="J172" s="96"/>
      <c r="K172" s="97"/>
      <c r="L172" s="98"/>
      <c r="M172" s="98"/>
      <c r="N172" s="99"/>
      <c r="O172" s="95"/>
      <c r="P172" s="95"/>
      <c r="Q172" s="95"/>
      <c r="R172" s="63">
        <f t="shared" si="4"/>
        <v>0</v>
      </c>
      <c r="S172" s="95"/>
      <c r="T172" s="95"/>
      <c r="U172" s="95"/>
      <c r="V172" s="95"/>
      <c r="W172" s="100"/>
      <c r="X172" s="95"/>
      <c r="Y172" s="63">
        <f t="shared" si="5"/>
        <v>0</v>
      </c>
      <c r="Z172" s="100"/>
      <c r="AA172" s="95"/>
      <c r="AB172" s="95"/>
      <c r="AC172" s="95"/>
      <c r="AD172" s="96"/>
      <c r="AE172" s="97"/>
      <c r="AF172" s="101"/>
    </row>
    <row r="173" spans="1:32" x14ac:dyDescent="0.25">
      <c r="A173" s="95"/>
      <c r="B173" s="95"/>
      <c r="C173" s="95"/>
      <c r="D173" s="95"/>
      <c r="E173" s="95"/>
      <c r="F173" s="95"/>
      <c r="G173" s="95"/>
      <c r="H173" s="95"/>
      <c r="I173" s="95"/>
      <c r="J173" s="96"/>
      <c r="K173" s="97"/>
      <c r="L173" s="98"/>
      <c r="M173" s="98"/>
      <c r="N173" s="99"/>
      <c r="O173" s="95"/>
      <c r="P173" s="95"/>
      <c r="Q173" s="95"/>
      <c r="R173" s="63">
        <f t="shared" si="4"/>
        <v>0</v>
      </c>
      <c r="S173" s="95"/>
      <c r="T173" s="95"/>
      <c r="U173" s="95"/>
      <c r="V173" s="95"/>
      <c r="W173" s="100"/>
      <c r="X173" s="95"/>
      <c r="Y173" s="63">
        <f t="shared" si="5"/>
        <v>0</v>
      </c>
      <c r="Z173" s="100"/>
      <c r="AA173" s="95"/>
      <c r="AB173" s="95"/>
      <c r="AC173" s="95"/>
      <c r="AD173" s="96"/>
      <c r="AE173" s="97"/>
      <c r="AF173" s="101"/>
    </row>
    <row r="174" spans="1:32" x14ac:dyDescent="0.25">
      <c r="A174" s="95"/>
      <c r="B174" s="95"/>
      <c r="C174" s="95"/>
      <c r="D174" s="95"/>
      <c r="E174" s="95"/>
      <c r="F174" s="95"/>
      <c r="G174" s="95"/>
      <c r="H174" s="95"/>
      <c r="I174" s="95"/>
      <c r="J174" s="96"/>
      <c r="K174" s="97"/>
      <c r="L174" s="98"/>
      <c r="M174" s="98"/>
      <c r="N174" s="99"/>
      <c r="O174" s="95"/>
      <c r="P174" s="95"/>
      <c r="Q174" s="95"/>
      <c r="R174" s="63">
        <f t="shared" ref="R174:R200" si="6">IF(AND(Q174&gt;8, L174="CIPP with C/O"), Q174-8, IF(AND(Q174&gt;8, L174="Cleanout Only"), Q174-8, IF(AND(Q174&gt;10, L174="Service Relay"), Q174-10,0)))</f>
        <v>0</v>
      </c>
      <c r="S174" s="95"/>
      <c r="T174" s="95"/>
      <c r="U174" s="95"/>
      <c r="V174" s="95"/>
      <c r="W174" s="100"/>
      <c r="X174" s="95"/>
      <c r="Y174" s="63">
        <f t="shared" ref="Y174:Y200" si="7">IF(X174&gt;10, X174-10,0)</f>
        <v>0</v>
      </c>
      <c r="Z174" s="100"/>
      <c r="AA174" s="95"/>
      <c r="AB174" s="95"/>
      <c r="AC174" s="95"/>
      <c r="AD174" s="96"/>
      <c r="AE174" s="97"/>
      <c r="AF174" s="101"/>
    </row>
    <row r="175" spans="1:32" x14ac:dyDescent="0.25">
      <c r="A175" s="95"/>
      <c r="B175" s="95"/>
      <c r="C175" s="95"/>
      <c r="D175" s="95"/>
      <c r="E175" s="95"/>
      <c r="F175" s="95"/>
      <c r="G175" s="95"/>
      <c r="H175" s="95"/>
      <c r="I175" s="95"/>
      <c r="J175" s="96"/>
      <c r="K175" s="97"/>
      <c r="L175" s="98"/>
      <c r="M175" s="98"/>
      <c r="N175" s="99"/>
      <c r="O175" s="95"/>
      <c r="P175" s="95"/>
      <c r="Q175" s="95"/>
      <c r="R175" s="63">
        <f t="shared" si="6"/>
        <v>0</v>
      </c>
      <c r="S175" s="95"/>
      <c r="T175" s="95"/>
      <c r="U175" s="95"/>
      <c r="V175" s="95"/>
      <c r="W175" s="100"/>
      <c r="X175" s="95"/>
      <c r="Y175" s="63">
        <f t="shared" si="7"/>
        <v>0</v>
      </c>
      <c r="Z175" s="100"/>
      <c r="AA175" s="95"/>
      <c r="AB175" s="95"/>
      <c r="AC175" s="95"/>
      <c r="AD175" s="96"/>
      <c r="AE175" s="97"/>
      <c r="AF175" s="101"/>
    </row>
    <row r="176" spans="1:32" x14ac:dyDescent="0.25">
      <c r="A176" s="95"/>
      <c r="B176" s="95"/>
      <c r="C176" s="95"/>
      <c r="D176" s="95"/>
      <c r="E176" s="95"/>
      <c r="F176" s="95"/>
      <c r="G176" s="95"/>
      <c r="H176" s="95"/>
      <c r="I176" s="95"/>
      <c r="J176" s="96"/>
      <c r="K176" s="97"/>
      <c r="L176" s="98"/>
      <c r="M176" s="98"/>
      <c r="N176" s="99"/>
      <c r="O176" s="95"/>
      <c r="P176" s="95"/>
      <c r="Q176" s="95"/>
      <c r="R176" s="63">
        <f t="shared" si="6"/>
        <v>0</v>
      </c>
      <c r="S176" s="95"/>
      <c r="T176" s="95"/>
      <c r="U176" s="95"/>
      <c r="V176" s="95"/>
      <c r="W176" s="100"/>
      <c r="X176" s="95"/>
      <c r="Y176" s="63">
        <f t="shared" si="7"/>
        <v>0</v>
      </c>
      <c r="Z176" s="100"/>
      <c r="AA176" s="95"/>
      <c r="AB176" s="95"/>
      <c r="AC176" s="95"/>
      <c r="AD176" s="96"/>
      <c r="AE176" s="97"/>
      <c r="AF176" s="101"/>
    </row>
    <row r="177" spans="1:32" x14ac:dyDescent="0.25">
      <c r="A177" s="95"/>
      <c r="B177" s="95"/>
      <c r="C177" s="95"/>
      <c r="D177" s="95"/>
      <c r="E177" s="95"/>
      <c r="F177" s="95"/>
      <c r="G177" s="95"/>
      <c r="H177" s="95"/>
      <c r="I177" s="95"/>
      <c r="J177" s="96"/>
      <c r="K177" s="97"/>
      <c r="L177" s="98"/>
      <c r="M177" s="98"/>
      <c r="N177" s="99"/>
      <c r="O177" s="95"/>
      <c r="P177" s="95"/>
      <c r="Q177" s="95"/>
      <c r="R177" s="63">
        <f t="shared" si="6"/>
        <v>0</v>
      </c>
      <c r="S177" s="95"/>
      <c r="T177" s="95"/>
      <c r="U177" s="95"/>
      <c r="V177" s="95"/>
      <c r="W177" s="100"/>
      <c r="X177" s="95"/>
      <c r="Y177" s="63">
        <f t="shared" si="7"/>
        <v>0</v>
      </c>
      <c r="Z177" s="100"/>
      <c r="AA177" s="95"/>
      <c r="AB177" s="95"/>
      <c r="AC177" s="95"/>
      <c r="AD177" s="96"/>
      <c r="AE177" s="97"/>
      <c r="AF177" s="101"/>
    </row>
    <row r="178" spans="1:32" x14ac:dyDescent="0.25">
      <c r="A178" s="95"/>
      <c r="B178" s="95"/>
      <c r="C178" s="95"/>
      <c r="D178" s="95"/>
      <c r="E178" s="95"/>
      <c r="F178" s="95"/>
      <c r="G178" s="95"/>
      <c r="H178" s="95"/>
      <c r="I178" s="95"/>
      <c r="J178" s="96"/>
      <c r="K178" s="97"/>
      <c r="L178" s="98"/>
      <c r="M178" s="98"/>
      <c r="N178" s="99"/>
      <c r="O178" s="95"/>
      <c r="P178" s="95"/>
      <c r="Q178" s="95"/>
      <c r="R178" s="63">
        <f t="shared" si="6"/>
        <v>0</v>
      </c>
      <c r="S178" s="95"/>
      <c r="T178" s="95"/>
      <c r="U178" s="95"/>
      <c r="V178" s="95"/>
      <c r="W178" s="100"/>
      <c r="X178" s="95"/>
      <c r="Y178" s="63">
        <f t="shared" si="7"/>
        <v>0</v>
      </c>
      <c r="Z178" s="100"/>
      <c r="AA178" s="95"/>
      <c r="AB178" s="95"/>
      <c r="AC178" s="95"/>
      <c r="AD178" s="96"/>
      <c r="AE178" s="97"/>
      <c r="AF178" s="101"/>
    </row>
    <row r="179" spans="1:32" x14ac:dyDescent="0.25">
      <c r="A179" s="95"/>
      <c r="B179" s="95"/>
      <c r="C179" s="95"/>
      <c r="D179" s="95"/>
      <c r="E179" s="95"/>
      <c r="F179" s="95"/>
      <c r="G179" s="95"/>
      <c r="H179" s="95"/>
      <c r="I179" s="95"/>
      <c r="J179" s="96"/>
      <c r="K179" s="97"/>
      <c r="L179" s="98"/>
      <c r="M179" s="98"/>
      <c r="N179" s="99"/>
      <c r="O179" s="95"/>
      <c r="P179" s="95"/>
      <c r="Q179" s="95"/>
      <c r="R179" s="63">
        <f t="shared" si="6"/>
        <v>0</v>
      </c>
      <c r="S179" s="95"/>
      <c r="T179" s="95"/>
      <c r="U179" s="95"/>
      <c r="V179" s="95"/>
      <c r="W179" s="100"/>
      <c r="X179" s="95"/>
      <c r="Y179" s="63">
        <f t="shared" si="7"/>
        <v>0</v>
      </c>
      <c r="Z179" s="100"/>
      <c r="AA179" s="95"/>
      <c r="AB179" s="95"/>
      <c r="AC179" s="95"/>
      <c r="AD179" s="96"/>
      <c r="AE179" s="97"/>
      <c r="AF179" s="101"/>
    </row>
    <row r="180" spans="1:32" x14ac:dyDescent="0.25">
      <c r="A180" s="95"/>
      <c r="B180" s="95"/>
      <c r="C180" s="95"/>
      <c r="D180" s="95"/>
      <c r="E180" s="95"/>
      <c r="F180" s="95"/>
      <c r="G180" s="95"/>
      <c r="H180" s="95"/>
      <c r="I180" s="95"/>
      <c r="J180" s="96"/>
      <c r="K180" s="97"/>
      <c r="L180" s="98"/>
      <c r="M180" s="98"/>
      <c r="N180" s="99"/>
      <c r="O180" s="95"/>
      <c r="P180" s="95"/>
      <c r="Q180" s="95"/>
      <c r="R180" s="63">
        <f t="shared" si="6"/>
        <v>0</v>
      </c>
      <c r="S180" s="95"/>
      <c r="T180" s="95"/>
      <c r="U180" s="95"/>
      <c r="V180" s="95"/>
      <c r="W180" s="100"/>
      <c r="X180" s="95"/>
      <c r="Y180" s="63">
        <f t="shared" si="7"/>
        <v>0</v>
      </c>
      <c r="Z180" s="100"/>
      <c r="AA180" s="95"/>
      <c r="AB180" s="95"/>
      <c r="AC180" s="95"/>
      <c r="AD180" s="96"/>
      <c r="AE180" s="97"/>
      <c r="AF180" s="101"/>
    </row>
    <row r="181" spans="1:32" x14ac:dyDescent="0.25">
      <c r="A181" s="95"/>
      <c r="B181" s="95"/>
      <c r="C181" s="95"/>
      <c r="D181" s="95"/>
      <c r="E181" s="95"/>
      <c r="F181" s="95"/>
      <c r="G181" s="95"/>
      <c r="H181" s="95"/>
      <c r="I181" s="95"/>
      <c r="J181" s="96"/>
      <c r="K181" s="97"/>
      <c r="L181" s="98"/>
      <c r="M181" s="98"/>
      <c r="N181" s="99"/>
      <c r="O181" s="95"/>
      <c r="P181" s="95"/>
      <c r="Q181" s="95"/>
      <c r="R181" s="63">
        <f t="shared" si="6"/>
        <v>0</v>
      </c>
      <c r="S181" s="95"/>
      <c r="T181" s="95"/>
      <c r="U181" s="95"/>
      <c r="V181" s="95"/>
      <c r="W181" s="100"/>
      <c r="X181" s="95"/>
      <c r="Y181" s="63">
        <f t="shared" si="7"/>
        <v>0</v>
      </c>
      <c r="Z181" s="100"/>
      <c r="AA181" s="95"/>
      <c r="AB181" s="95"/>
      <c r="AC181" s="95"/>
      <c r="AD181" s="96"/>
      <c r="AE181" s="97"/>
      <c r="AF181" s="101"/>
    </row>
    <row r="182" spans="1:32" x14ac:dyDescent="0.25">
      <c r="A182" s="95"/>
      <c r="B182" s="95"/>
      <c r="C182" s="95"/>
      <c r="D182" s="95"/>
      <c r="E182" s="95"/>
      <c r="F182" s="95"/>
      <c r="G182" s="95"/>
      <c r="H182" s="95"/>
      <c r="I182" s="95"/>
      <c r="J182" s="96"/>
      <c r="K182" s="97"/>
      <c r="L182" s="98"/>
      <c r="M182" s="98"/>
      <c r="N182" s="99"/>
      <c r="O182" s="95"/>
      <c r="P182" s="95"/>
      <c r="Q182" s="95"/>
      <c r="R182" s="63">
        <f t="shared" si="6"/>
        <v>0</v>
      </c>
      <c r="S182" s="95"/>
      <c r="T182" s="95"/>
      <c r="U182" s="95"/>
      <c r="V182" s="95"/>
      <c r="W182" s="100"/>
      <c r="X182" s="95"/>
      <c r="Y182" s="63">
        <f t="shared" si="7"/>
        <v>0</v>
      </c>
      <c r="Z182" s="100"/>
      <c r="AA182" s="95"/>
      <c r="AB182" s="95"/>
      <c r="AC182" s="95"/>
      <c r="AD182" s="96"/>
      <c r="AE182" s="97"/>
      <c r="AF182" s="101"/>
    </row>
    <row r="183" spans="1:32" x14ac:dyDescent="0.25">
      <c r="A183" s="95"/>
      <c r="B183" s="95"/>
      <c r="C183" s="95"/>
      <c r="D183" s="95"/>
      <c r="E183" s="95"/>
      <c r="F183" s="95"/>
      <c r="G183" s="95"/>
      <c r="H183" s="95"/>
      <c r="I183" s="95"/>
      <c r="J183" s="96"/>
      <c r="K183" s="97"/>
      <c r="L183" s="98"/>
      <c r="M183" s="98"/>
      <c r="N183" s="99"/>
      <c r="O183" s="95"/>
      <c r="P183" s="95"/>
      <c r="Q183" s="95"/>
      <c r="R183" s="63">
        <f t="shared" si="6"/>
        <v>0</v>
      </c>
      <c r="S183" s="95"/>
      <c r="T183" s="95"/>
      <c r="U183" s="95"/>
      <c r="V183" s="95"/>
      <c r="W183" s="100"/>
      <c r="X183" s="95"/>
      <c r="Y183" s="63">
        <f t="shared" si="7"/>
        <v>0</v>
      </c>
      <c r="Z183" s="100"/>
      <c r="AA183" s="95"/>
      <c r="AB183" s="95"/>
      <c r="AC183" s="95"/>
      <c r="AD183" s="96"/>
      <c r="AE183" s="97"/>
      <c r="AF183" s="101"/>
    </row>
    <row r="184" spans="1:32" x14ac:dyDescent="0.25">
      <c r="A184" s="95"/>
      <c r="B184" s="95"/>
      <c r="C184" s="95"/>
      <c r="D184" s="95"/>
      <c r="E184" s="95"/>
      <c r="F184" s="95"/>
      <c r="G184" s="95"/>
      <c r="H184" s="95"/>
      <c r="I184" s="95"/>
      <c r="J184" s="96"/>
      <c r="K184" s="97"/>
      <c r="L184" s="98"/>
      <c r="M184" s="98"/>
      <c r="N184" s="99"/>
      <c r="O184" s="95"/>
      <c r="P184" s="95"/>
      <c r="Q184" s="95"/>
      <c r="R184" s="63">
        <f t="shared" si="6"/>
        <v>0</v>
      </c>
      <c r="S184" s="95"/>
      <c r="T184" s="95"/>
      <c r="U184" s="95"/>
      <c r="V184" s="95"/>
      <c r="W184" s="100"/>
      <c r="X184" s="95"/>
      <c r="Y184" s="63">
        <f t="shared" si="7"/>
        <v>0</v>
      </c>
      <c r="Z184" s="100"/>
      <c r="AA184" s="95"/>
      <c r="AB184" s="95"/>
      <c r="AC184" s="95"/>
      <c r="AD184" s="96"/>
      <c r="AE184" s="97"/>
      <c r="AF184" s="101"/>
    </row>
    <row r="185" spans="1:32" x14ac:dyDescent="0.25">
      <c r="A185" s="95"/>
      <c r="B185" s="95"/>
      <c r="C185" s="95"/>
      <c r="D185" s="95"/>
      <c r="E185" s="95"/>
      <c r="F185" s="95"/>
      <c r="G185" s="95"/>
      <c r="H185" s="95"/>
      <c r="I185" s="95"/>
      <c r="J185" s="96"/>
      <c r="K185" s="97"/>
      <c r="L185" s="98"/>
      <c r="M185" s="98"/>
      <c r="N185" s="99"/>
      <c r="O185" s="95"/>
      <c r="P185" s="95"/>
      <c r="Q185" s="95"/>
      <c r="R185" s="63">
        <f t="shared" si="6"/>
        <v>0</v>
      </c>
      <c r="S185" s="95"/>
      <c r="T185" s="95"/>
      <c r="U185" s="95"/>
      <c r="V185" s="95"/>
      <c r="W185" s="100"/>
      <c r="X185" s="95"/>
      <c r="Y185" s="63">
        <f t="shared" si="7"/>
        <v>0</v>
      </c>
      <c r="Z185" s="100"/>
      <c r="AA185" s="95"/>
      <c r="AB185" s="95"/>
      <c r="AC185" s="95"/>
      <c r="AD185" s="96"/>
      <c r="AE185" s="97"/>
      <c r="AF185" s="101"/>
    </row>
    <row r="186" spans="1:32" x14ac:dyDescent="0.25">
      <c r="A186" s="95"/>
      <c r="B186" s="95"/>
      <c r="C186" s="95"/>
      <c r="D186" s="95"/>
      <c r="E186" s="95"/>
      <c r="F186" s="95"/>
      <c r="G186" s="95"/>
      <c r="H186" s="95"/>
      <c r="I186" s="95"/>
      <c r="J186" s="96"/>
      <c r="K186" s="97"/>
      <c r="L186" s="98"/>
      <c r="M186" s="98"/>
      <c r="N186" s="99"/>
      <c r="O186" s="95"/>
      <c r="P186" s="95"/>
      <c r="Q186" s="95"/>
      <c r="R186" s="63">
        <f t="shared" si="6"/>
        <v>0</v>
      </c>
      <c r="S186" s="95"/>
      <c r="T186" s="95"/>
      <c r="U186" s="95"/>
      <c r="V186" s="95"/>
      <c r="W186" s="100"/>
      <c r="X186" s="95"/>
      <c r="Y186" s="63">
        <f t="shared" si="7"/>
        <v>0</v>
      </c>
      <c r="Z186" s="100"/>
      <c r="AA186" s="95"/>
      <c r="AB186" s="95"/>
      <c r="AC186" s="95"/>
      <c r="AD186" s="96"/>
      <c r="AE186" s="97"/>
      <c r="AF186" s="101"/>
    </row>
    <row r="187" spans="1:32" x14ac:dyDescent="0.25">
      <c r="A187" s="95"/>
      <c r="B187" s="95"/>
      <c r="C187" s="95"/>
      <c r="D187" s="95"/>
      <c r="E187" s="95"/>
      <c r="F187" s="95"/>
      <c r="G187" s="95"/>
      <c r="H187" s="95"/>
      <c r="I187" s="95"/>
      <c r="J187" s="96"/>
      <c r="K187" s="97"/>
      <c r="L187" s="98"/>
      <c r="M187" s="98"/>
      <c r="N187" s="99"/>
      <c r="O187" s="95"/>
      <c r="P187" s="95"/>
      <c r="Q187" s="95"/>
      <c r="R187" s="63">
        <f t="shared" si="6"/>
        <v>0</v>
      </c>
      <c r="S187" s="95"/>
      <c r="T187" s="95"/>
      <c r="U187" s="95"/>
      <c r="V187" s="95"/>
      <c r="W187" s="100"/>
      <c r="X187" s="95"/>
      <c r="Y187" s="63">
        <f t="shared" si="7"/>
        <v>0</v>
      </c>
      <c r="Z187" s="100"/>
      <c r="AA187" s="95"/>
      <c r="AB187" s="95"/>
      <c r="AC187" s="95"/>
      <c r="AD187" s="96"/>
      <c r="AE187" s="97"/>
      <c r="AF187" s="101"/>
    </row>
    <row r="188" spans="1:32" x14ac:dyDescent="0.25">
      <c r="A188" s="95"/>
      <c r="B188" s="95"/>
      <c r="C188" s="95"/>
      <c r="D188" s="95"/>
      <c r="E188" s="95"/>
      <c r="F188" s="95"/>
      <c r="G188" s="95"/>
      <c r="H188" s="95"/>
      <c r="I188" s="95"/>
      <c r="J188" s="96"/>
      <c r="K188" s="97"/>
      <c r="L188" s="98"/>
      <c r="M188" s="98"/>
      <c r="N188" s="99"/>
      <c r="O188" s="95"/>
      <c r="P188" s="95"/>
      <c r="Q188" s="95"/>
      <c r="R188" s="63">
        <f t="shared" si="6"/>
        <v>0</v>
      </c>
      <c r="S188" s="95"/>
      <c r="T188" s="95"/>
      <c r="U188" s="95"/>
      <c r="V188" s="95"/>
      <c r="W188" s="100"/>
      <c r="X188" s="95"/>
      <c r="Y188" s="63">
        <f t="shared" si="7"/>
        <v>0</v>
      </c>
      <c r="Z188" s="100"/>
      <c r="AA188" s="95"/>
      <c r="AB188" s="95"/>
      <c r="AC188" s="95"/>
      <c r="AD188" s="96"/>
      <c r="AE188" s="97"/>
      <c r="AF188" s="101"/>
    </row>
    <row r="189" spans="1:32" x14ac:dyDescent="0.25">
      <c r="A189" s="95"/>
      <c r="B189" s="95"/>
      <c r="C189" s="95"/>
      <c r="D189" s="95"/>
      <c r="E189" s="95"/>
      <c r="F189" s="95"/>
      <c r="G189" s="95"/>
      <c r="H189" s="95"/>
      <c r="I189" s="95"/>
      <c r="J189" s="96"/>
      <c r="K189" s="97"/>
      <c r="L189" s="98"/>
      <c r="M189" s="98"/>
      <c r="N189" s="99"/>
      <c r="O189" s="95"/>
      <c r="P189" s="95"/>
      <c r="Q189" s="95"/>
      <c r="R189" s="63">
        <f t="shared" si="6"/>
        <v>0</v>
      </c>
      <c r="S189" s="95"/>
      <c r="T189" s="95"/>
      <c r="U189" s="95"/>
      <c r="V189" s="95"/>
      <c r="W189" s="100"/>
      <c r="X189" s="95"/>
      <c r="Y189" s="63">
        <f t="shared" si="7"/>
        <v>0</v>
      </c>
      <c r="Z189" s="100"/>
      <c r="AA189" s="95"/>
      <c r="AB189" s="95"/>
      <c r="AC189" s="95"/>
      <c r="AD189" s="96"/>
      <c r="AE189" s="97"/>
      <c r="AF189" s="101"/>
    </row>
    <row r="190" spans="1:32" x14ac:dyDescent="0.25">
      <c r="A190" s="95"/>
      <c r="B190" s="95"/>
      <c r="C190" s="95"/>
      <c r="D190" s="95"/>
      <c r="E190" s="95"/>
      <c r="F190" s="95"/>
      <c r="G190" s="95"/>
      <c r="H190" s="95"/>
      <c r="I190" s="95"/>
      <c r="J190" s="96"/>
      <c r="K190" s="97"/>
      <c r="L190" s="98"/>
      <c r="M190" s="98"/>
      <c r="N190" s="99"/>
      <c r="O190" s="95"/>
      <c r="P190" s="95"/>
      <c r="Q190" s="95"/>
      <c r="R190" s="63">
        <f t="shared" si="6"/>
        <v>0</v>
      </c>
      <c r="S190" s="95"/>
      <c r="T190" s="95"/>
      <c r="U190" s="95"/>
      <c r="V190" s="95"/>
      <c r="W190" s="100"/>
      <c r="X190" s="95"/>
      <c r="Y190" s="63">
        <f t="shared" si="7"/>
        <v>0</v>
      </c>
      <c r="Z190" s="100"/>
      <c r="AA190" s="95"/>
      <c r="AB190" s="95"/>
      <c r="AC190" s="95"/>
      <c r="AD190" s="96"/>
      <c r="AE190" s="97"/>
      <c r="AF190" s="101"/>
    </row>
    <row r="191" spans="1:32" x14ac:dyDescent="0.25">
      <c r="A191" s="95"/>
      <c r="B191" s="95"/>
      <c r="C191" s="95"/>
      <c r="D191" s="95"/>
      <c r="E191" s="95"/>
      <c r="F191" s="95"/>
      <c r="G191" s="95"/>
      <c r="H191" s="95"/>
      <c r="I191" s="95"/>
      <c r="J191" s="96"/>
      <c r="K191" s="97"/>
      <c r="L191" s="98"/>
      <c r="M191" s="98"/>
      <c r="N191" s="99"/>
      <c r="O191" s="95"/>
      <c r="P191" s="95"/>
      <c r="Q191" s="95"/>
      <c r="R191" s="63">
        <f t="shared" si="6"/>
        <v>0</v>
      </c>
      <c r="S191" s="95"/>
      <c r="T191" s="95"/>
      <c r="U191" s="95"/>
      <c r="V191" s="95"/>
      <c r="W191" s="100"/>
      <c r="X191" s="95"/>
      <c r="Y191" s="63">
        <f t="shared" si="7"/>
        <v>0</v>
      </c>
      <c r="Z191" s="100"/>
      <c r="AA191" s="95"/>
      <c r="AB191" s="95"/>
      <c r="AC191" s="95"/>
      <c r="AD191" s="96"/>
      <c r="AE191" s="97"/>
      <c r="AF191" s="101"/>
    </row>
    <row r="192" spans="1:32" x14ac:dyDescent="0.25">
      <c r="A192" s="95"/>
      <c r="B192" s="95"/>
      <c r="C192" s="95"/>
      <c r="D192" s="95"/>
      <c r="E192" s="95"/>
      <c r="F192" s="95"/>
      <c r="G192" s="95"/>
      <c r="H192" s="95"/>
      <c r="I192" s="95"/>
      <c r="J192" s="96"/>
      <c r="K192" s="97"/>
      <c r="L192" s="98"/>
      <c r="M192" s="98"/>
      <c r="N192" s="99"/>
      <c r="O192" s="95"/>
      <c r="P192" s="95"/>
      <c r="Q192" s="95"/>
      <c r="R192" s="63">
        <f t="shared" si="6"/>
        <v>0</v>
      </c>
      <c r="S192" s="95"/>
      <c r="T192" s="95"/>
      <c r="U192" s="95"/>
      <c r="V192" s="95"/>
      <c r="W192" s="100"/>
      <c r="X192" s="95"/>
      <c r="Y192" s="63">
        <f t="shared" si="7"/>
        <v>0</v>
      </c>
      <c r="Z192" s="100"/>
      <c r="AA192" s="95"/>
      <c r="AB192" s="95"/>
      <c r="AC192" s="95"/>
      <c r="AD192" s="96"/>
      <c r="AE192" s="97"/>
      <c r="AF192" s="101"/>
    </row>
    <row r="193" spans="1:32" x14ac:dyDescent="0.25">
      <c r="A193" s="95"/>
      <c r="B193" s="95"/>
      <c r="C193" s="95"/>
      <c r="D193" s="95"/>
      <c r="E193" s="95"/>
      <c r="F193" s="95"/>
      <c r="G193" s="95"/>
      <c r="H193" s="95"/>
      <c r="I193" s="95"/>
      <c r="J193" s="96"/>
      <c r="K193" s="97"/>
      <c r="L193" s="98"/>
      <c r="M193" s="98"/>
      <c r="N193" s="99"/>
      <c r="O193" s="95"/>
      <c r="P193" s="95"/>
      <c r="Q193" s="95"/>
      <c r="R193" s="63">
        <f t="shared" si="6"/>
        <v>0</v>
      </c>
      <c r="S193" s="95"/>
      <c r="T193" s="95"/>
      <c r="U193" s="95"/>
      <c r="V193" s="95"/>
      <c r="W193" s="100"/>
      <c r="X193" s="95"/>
      <c r="Y193" s="63">
        <f t="shared" si="7"/>
        <v>0</v>
      </c>
      <c r="Z193" s="100"/>
      <c r="AA193" s="95"/>
      <c r="AB193" s="95"/>
      <c r="AC193" s="95"/>
      <c r="AD193" s="96"/>
      <c r="AE193" s="97"/>
      <c r="AF193" s="101"/>
    </row>
    <row r="194" spans="1:32" x14ac:dyDescent="0.25">
      <c r="A194" s="95"/>
      <c r="B194" s="95"/>
      <c r="C194" s="95"/>
      <c r="D194" s="95"/>
      <c r="E194" s="95"/>
      <c r="F194" s="95"/>
      <c r="G194" s="95"/>
      <c r="H194" s="95"/>
      <c r="I194" s="95"/>
      <c r="J194" s="96"/>
      <c r="K194" s="97"/>
      <c r="L194" s="98"/>
      <c r="M194" s="98"/>
      <c r="N194" s="99"/>
      <c r="O194" s="95"/>
      <c r="P194" s="95"/>
      <c r="Q194" s="95"/>
      <c r="R194" s="63">
        <f t="shared" si="6"/>
        <v>0</v>
      </c>
      <c r="S194" s="95"/>
      <c r="T194" s="95"/>
      <c r="U194" s="95"/>
      <c r="V194" s="95"/>
      <c r="W194" s="100"/>
      <c r="X194" s="95"/>
      <c r="Y194" s="63">
        <f t="shared" si="7"/>
        <v>0</v>
      </c>
      <c r="Z194" s="100"/>
      <c r="AA194" s="95"/>
      <c r="AB194" s="95"/>
      <c r="AC194" s="95"/>
      <c r="AD194" s="96"/>
      <c r="AE194" s="97"/>
      <c r="AF194" s="101"/>
    </row>
    <row r="195" spans="1:32" x14ac:dyDescent="0.25">
      <c r="A195" s="95"/>
      <c r="B195" s="95"/>
      <c r="C195" s="95"/>
      <c r="D195" s="95"/>
      <c r="E195" s="95"/>
      <c r="F195" s="95"/>
      <c r="G195" s="95"/>
      <c r="H195" s="95"/>
      <c r="I195" s="95"/>
      <c r="J195" s="96"/>
      <c r="K195" s="97"/>
      <c r="L195" s="98"/>
      <c r="M195" s="98"/>
      <c r="N195" s="99"/>
      <c r="O195" s="95"/>
      <c r="P195" s="95"/>
      <c r="Q195" s="95"/>
      <c r="R195" s="63">
        <f t="shared" si="6"/>
        <v>0</v>
      </c>
      <c r="S195" s="95"/>
      <c r="T195" s="95"/>
      <c r="U195" s="95"/>
      <c r="V195" s="95"/>
      <c r="W195" s="100"/>
      <c r="X195" s="95"/>
      <c r="Y195" s="63">
        <f t="shared" si="7"/>
        <v>0</v>
      </c>
      <c r="Z195" s="100"/>
      <c r="AA195" s="95"/>
      <c r="AB195" s="95"/>
      <c r="AC195" s="95"/>
      <c r="AD195" s="96"/>
      <c r="AE195" s="97"/>
      <c r="AF195" s="101"/>
    </row>
    <row r="196" spans="1:32" x14ac:dyDescent="0.25">
      <c r="A196" s="95"/>
      <c r="B196" s="95"/>
      <c r="C196" s="95"/>
      <c r="D196" s="95"/>
      <c r="E196" s="95"/>
      <c r="F196" s="95"/>
      <c r="G196" s="95"/>
      <c r="H196" s="95"/>
      <c r="I196" s="95"/>
      <c r="J196" s="96"/>
      <c r="K196" s="97"/>
      <c r="L196" s="98"/>
      <c r="M196" s="98"/>
      <c r="N196" s="99"/>
      <c r="O196" s="95"/>
      <c r="P196" s="95"/>
      <c r="Q196" s="95"/>
      <c r="R196" s="63">
        <f t="shared" si="6"/>
        <v>0</v>
      </c>
      <c r="S196" s="95"/>
      <c r="T196" s="95"/>
      <c r="U196" s="95"/>
      <c r="V196" s="95"/>
      <c r="W196" s="100"/>
      <c r="X196" s="95"/>
      <c r="Y196" s="63">
        <f t="shared" si="7"/>
        <v>0</v>
      </c>
      <c r="Z196" s="100"/>
      <c r="AA196" s="95"/>
      <c r="AB196" s="95"/>
      <c r="AC196" s="95"/>
      <c r="AD196" s="96"/>
      <c r="AE196" s="97"/>
      <c r="AF196" s="101"/>
    </row>
    <row r="197" spans="1:32" x14ac:dyDescent="0.25">
      <c r="A197" s="95"/>
      <c r="B197" s="95"/>
      <c r="C197" s="95"/>
      <c r="D197" s="95"/>
      <c r="E197" s="95"/>
      <c r="F197" s="95"/>
      <c r="G197" s="95"/>
      <c r="H197" s="95"/>
      <c r="I197" s="95"/>
      <c r="J197" s="96"/>
      <c r="K197" s="97"/>
      <c r="L197" s="98"/>
      <c r="M197" s="98"/>
      <c r="N197" s="99"/>
      <c r="O197" s="95"/>
      <c r="P197" s="95"/>
      <c r="Q197" s="95"/>
      <c r="R197" s="63">
        <f t="shared" si="6"/>
        <v>0</v>
      </c>
      <c r="S197" s="95"/>
      <c r="T197" s="95"/>
      <c r="U197" s="95"/>
      <c r="V197" s="95"/>
      <c r="W197" s="100"/>
      <c r="X197" s="95"/>
      <c r="Y197" s="63">
        <f t="shared" si="7"/>
        <v>0</v>
      </c>
      <c r="Z197" s="100"/>
      <c r="AA197" s="95"/>
      <c r="AB197" s="95"/>
      <c r="AC197" s="95"/>
      <c r="AD197" s="96"/>
      <c r="AE197" s="97"/>
      <c r="AF197" s="101"/>
    </row>
    <row r="198" spans="1:32" x14ac:dyDescent="0.25">
      <c r="A198" s="95"/>
      <c r="B198" s="95"/>
      <c r="C198" s="95"/>
      <c r="D198" s="95"/>
      <c r="E198" s="95"/>
      <c r="F198" s="95"/>
      <c r="G198" s="95"/>
      <c r="H198" s="95"/>
      <c r="I198" s="95"/>
      <c r="J198" s="96"/>
      <c r="K198" s="97"/>
      <c r="L198" s="98"/>
      <c r="M198" s="98"/>
      <c r="N198" s="99"/>
      <c r="O198" s="95"/>
      <c r="P198" s="95"/>
      <c r="Q198" s="95"/>
      <c r="R198" s="63">
        <f t="shared" si="6"/>
        <v>0</v>
      </c>
      <c r="S198" s="95"/>
      <c r="T198" s="95"/>
      <c r="U198" s="95"/>
      <c r="V198" s="95"/>
      <c r="W198" s="100"/>
      <c r="X198" s="95"/>
      <c r="Y198" s="63">
        <f t="shared" si="7"/>
        <v>0</v>
      </c>
      <c r="Z198" s="100"/>
      <c r="AA198" s="95"/>
      <c r="AB198" s="95"/>
      <c r="AC198" s="95"/>
      <c r="AD198" s="96"/>
      <c r="AE198" s="97"/>
      <c r="AF198" s="101"/>
    </row>
    <row r="199" spans="1:32" x14ac:dyDescent="0.25">
      <c r="A199" s="95"/>
      <c r="B199" s="95"/>
      <c r="C199" s="95"/>
      <c r="D199" s="95"/>
      <c r="E199" s="95"/>
      <c r="F199" s="95"/>
      <c r="G199" s="95"/>
      <c r="H199" s="95"/>
      <c r="I199" s="95"/>
      <c r="J199" s="96"/>
      <c r="K199" s="97"/>
      <c r="L199" s="98"/>
      <c r="M199" s="98"/>
      <c r="N199" s="99"/>
      <c r="O199" s="95"/>
      <c r="P199" s="95"/>
      <c r="Q199" s="95"/>
      <c r="R199" s="63">
        <f t="shared" si="6"/>
        <v>0</v>
      </c>
      <c r="S199" s="95"/>
      <c r="T199" s="95"/>
      <c r="U199" s="95"/>
      <c r="V199" s="95"/>
      <c r="W199" s="100"/>
      <c r="X199" s="95"/>
      <c r="Y199" s="63">
        <f t="shared" si="7"/>
        <v>0</v>
      </c>
      <c r="Z199" s="100"/>
      <c r="AA199" s="95"/>
      <c r="AB199" s="95"/>
      <c r="AC199" s="95"/>
      <c r="AD199" s="96"/>
      <c r="AE199" s="97"/>
      <c r="AF199" s="101"/>
    </row>
    <row r="200" spans="1:32" x14ac:dyDescent="0.25">
      <c r="A200" s="95"/>
      <c r="B200" s="95"/>
      <c r="C200" s="95"/>
      <c r="D200" s="95"/>
      <c r="E200" s="95"/>
      <c r="F200" s="95"/>
      <c r="G200" s="95"/>
      <c r="H200" s="95"/>
      <c r="I200" s="95"/>
      <c r="J200" s="96"/>
      <c r="K200" s="97"/>
      <c r="L200" s="98"/>
      <c r="M200" s="98"/>
      <c r="N200" s="99"/>
      <c r="O200" s="95"/>
      <c r="P200" s="95"/>
      <c r="Q200" s="95"/>
      <c r="R200" s="63">
        <f t="shared" si="6"/>
        <v>0</v>
      </c>
      <c r="S200" s="95"/>
      <c r="T200" s="95"/>
      <c r="U200" s="95"/>
      <c r="V200" s="95"/>
      <c r="W200" s="100"/>
      <c r="X200" s="95"/>
      <c r="Y200" s="63">
        <f t="shared" si="7"/>
        <v>0</v>
      </c>
      <c r="Z200" s="100"/>
      <c r="AA200" s="95"/>
      <c r="AB200" s="95"/>
      <c r="AC200" s="95"/>
      <c r="AD200" s="96"/>
      <c r="AE200" s="97"/>
      <c r="AF200" s="101"/>
    </row>
  </sheetData>
  <autoFilter ref="A3:AF200" xr:uid="{867D0384-EF90-45DE-BFD5-C6D44B91E412}"/>
  <mergeCells count="5">
    <mergeCell ref="A1:AF1"/>
    <mergeCell ref="A2:K2"/>
    <mergeCell ref="N2:V2"/>
    <mergeCell ref="W2:Y2"/>
    <mergeCell ref="Z2:AD2"/>
  </mergeCells>
  <dataValidations count="7">
    <dataValidation type="list" allowBlank="1" showInputMessage="1" showErrorMessage="1" sqref="AD1 AD3:AD1048576" xr:uid="{E46B7B19-30BC-4F2A-B945-46DC7C03B30F}">
      <formula1>"Will not air up, Fast leak, Slow leak"</formula1>
    </dataValidation>
    <dataValidation type="list" allowBlank="1" showInputMessage="1" showErrorMessage="1" sqref="V1:V1048576" xr:uid="{2190066C-9349-49C3-87A6-49B655C200F9}">
      <formula1>"Yes See HSR Tab, No"</formula1>
    </dataValidation>
    <dataValidation type="whole" allowBlank="1" showInputMessage="1" showErrorMessage="1" sqref="F3" xr:uid="{D4216E92-CB2A-4202-BF5C-722FFFBCCCA5}">
      <formula1>1</formula1>
      <formula2>12</formula2>
    </dataValidation>
    <dataValidation type="list" allowBlank="1" showInputMessage="1" showErrorMessage="1" sqref="AC1 AC3:AC1048576" xr:uid="{F8678616-3AB1-44FC-984A-52FA7861D3AA}">
      <formula1>"Pass, Fail"</formula1>
    </dataValidation>
    <dataValidation type="list" allowBlank="1" showInputMessage="1" showErrorMessage="1" sqref="S3" xr:uid="{3C9E2DA8-C875-4610-9B03-FC68917D251B}">
      <formula1>"PVC, Clay, Concrete, Metal"</formula1>
    </dataValidation>
    <dataValidation type="list" allowBlank="1" showInputMessage="1" showErrorMessage="1" sqref="O3" xr:uid="{411ECB0F-DDF8-4228-9F96-2195FDE5853A}">
      <formula1>"4, 6"</formula1>
    </dataValidation>
    <dataValidation type="list" allowBlank="1" showInputMessage="1" showErrorMessage="1" sqref="T1:U1048576" xr:uid="{01C5E0A6-A0DC-4DB7-A43C-5C860C811697}">
      <formula1>"Yes, No"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2CB2BE4-F532-4745-9B7F-EBFC1FB30BA7}">
          <x14:formula1>
            <xm:f>Lists!$C$4:$C$21</xm:f>
          </x14:formula1>
          <xm:sqref>L4:L200</xm:sqref>
        </x14:dataValidation>
        <x14:dataValidation type="list" allowBlank="1" showInputMessage="1" showErrorMessage="1" xr:uid="{7EA3A233-A690-4B90-A0E1-C508D51C1D93}">
          <x14:formula1>
            <xm:f>Lists!$E$4:$E$12</xm:f>
          </x14:formula1>
          <xm:sqref>S4:S200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47526-219F-4FAB-8F0F-DBADAAA411C7}">
  <dimension ref="A1:AB155"/>
  <sheetViews>
    <sheetView zoomScaleNormal="100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I133" sqref="I133"/>
    </sheetView>
  </sheetViews>
  <sheetFormatPr defaultColWidth="9.140625" defaultRowHeight="15" x14ac:dyDescent="0.25"/>
  <cols>
    <col min="1" max="1" width="10.28515625" style="24" customWidth="1"/>
    <col min="2" max="2" width="14.7109375" style="24" customWidth="1"/>
    <col min="3" max="3" width="14.85546875" style="24" customWidth="1"/>
    <col min="4" max="4" width="10.85546875" style="24" customWidth="1"/>
    <col min="5" max="6" width="9.140625" style="24"/>
    <col min="7" max="7" width="19.140625" style="24" customWidth="1"/>
    <col min="8" max="8" width="9.140625" style="24"/>
    <col min="9" max="9" width="13.140625" style="24" customWidth="1"/>
    <col min="10" max="12" width="9.140625" style="24"/>
    <col min="13" max="15" width="13.7109375" style="29" customWidth="1"/>
    <col min="16" max="18" width="9.140625" style="24"/>
    <col min="19" max="19" width="22.7109375" style="24" customWidth="1"/>
    <col min="20" max="20" width="12.7109375" style="29" customWidth="1"/>
    <col min="21" max="21" width="10.85546875" style="29" customWidth="1"/>
    <col min="22" max="22" width="10.85546875" style="70" customWidth="1"/>
    <col min="23" max="23" width="10.85546875" style="59" customWidth="1"/>
    <col min="24" max="25" width="9.140625" style="70"/>
    <col min="26" max="26" width="9.140625" style="59"/>
    <col min="27" max="27" width="10" style="70" customWidth="1"/>
    <col min="28" max="28" width="10" style="59" customWidth="1"/>
    <col min="29" max="16384" width="9.140625" style="24"/>
  </cols>
  <sheetData>
    <row r="1" spans="1:28" x14ac:dyDescent="0.25">
      <c r="A1" s="257" t="s">
        <v>81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  <c r="N1" s="258"/>
      <c r="O1" s="258"/>
      <c r="P1" s="258"/>
      <c r="Q1" s="258"/>
      <c r="R1" s="258"/>
      <c r="S1" s="258"/>
      <c r="T1" s="258"/>
      <c r="U1" s="258"/>
      <c r="V1" s="258"/>
      <c r="W1" s="258"/>
      <c r="X1" s="258"/>
      <c r="Y1" s="258"/>
      <c r="Z1" s="258"/>
      <c r="AA1" s="258"/>
      <c r="AB1" s="259"/>
    </row>
    <row r="2" spans="1:28" x14ac:dyDescent="0.25">
      <c r="A2" s="243" t="s">
        <v>1</v>
      </c>
      <c r="B2" s="244"/>
      <c r="C2" s="244"/>
      <c r="D2" s="244"/>
      <c r="E2" s="244"/>
      <c r="F2" s="244"/>
      <c r="G2" s="244"/>
      <c r="H2" s="260" t="s">
        <v>82</v>
      </c>
      <c r="I2" s="244"/>
      <c r="J2" s="244"/>
      <c r="K2" s="244"/>
      <c r="L2" s="244"/>
      <c r="M2" s="244"/>
      <c r="N2" s="244"/>
      <c r="O2" s="260" t="s">
        <v>83</v>
      </c>
      <c r="P2" s="244"/>
      <c r="Q2" s="244"/>
      <c r="R2" s="244"/>
      <c r="S2" s="245"/>
      <c r="T2" s="261" t="s">
        <v>84</v>
      </c>
      <c r="U2" s="261"/>
      <c r="V2" s="261"/>
      <c r="W2" s="261"/>
      <c r="X2" s="261"/>
      <c r="Y2" s="261"/>
      <c r="Z2" s="261"/>
      <c r="AA2" s="261"/>
      <c r="AB2" s="261"/>
    </row>
    <row r="3" spans="1:28" ht="45" x14ac:dyDescent="0.25">
      <c r="A3" s="1" t="s">
        <v>37</v>
      </c>
      <c r="B3" s="1" t="s">
        <v>85</v>
      </c>
      <c r="C3" s="1" t="s">
        <v>13</v>
      </c>
      <c r="D3" s="1" t="s">
        <v>86</v>
      </c>
      <c r="E3" s="1" t="s">
        <v>87</v>
      </c>
      <c r="F3" s="1" t="s">
        <v>88</v>
      </c>
      <c r="G3" s="4" t="s">
        <v>89</v>
      </c>
      <c r="H3" s="26" t="s">
        <v>90</v>
      </c>
      <c r="I3" s="4" t="s">
        <v>91</v>
      </c>
      <c r="J3" s="27" t="s">
        <v>92</v>
      </c>
      <c r="K3" s="28" t="s">
        <v>156</v>
      </c>
      <c r="L3" s="14" t="s">
        <v>93</v>
      </c>
      <c r="M3" s="22" t="s">
        <v>94</v>
      </c>
      <c r="N3" s="31" t="s">
        <v>95</v>
      </c>
      <c r="O3" s="8" t="s">
        <v>96</v>
      </c>
      <c r="P3" s="14" t="s">
        <v>97</v>
      </c>
      <c r="Q3" s="1" t="s">
        <v>98</v>
      </c>
      <c r="R3" s="1" t="s">
        <v>57</v>
      </c>
      <c r="S3" s="13" t="s">
        <v>32</v>
      </c>
      <c r="T3" s="8" t="s">
        <v>152</v>
      </c>
      <c r="U3" s="64" t="s">
        <v>151</v>
      </c>
      <c r="V3" s="77" t="s">
        <v>101</v>
      </c>
      <c r="W3" s="79" t="s">
        <v>102</v>
      </c>
      <c r="X3" s="75" t="s">
        <v>99</v>
      </c>
      <c r="Y3" s="77" t="s">
        <v>149</v>
      </c>
      <c r="Z3" s="73" t="s">
        <v>150</v>
      </c>
      <c r="AA3" s="68" t="s">
        <v>100</v>
      </c>
      <c r="AB3" s="71" t="s">
        <v>153</v>
      </c>
    </row>
    <row r="4" spans="1:28" x14ac:dyDescent="0.25">
      <c r="A4" s="32" t="s">
        <v>245</v>
      </c>
      <c r="B4" s="32" t="s">
        <v>368</v>
      </c>
      <c r="C4" s="32" t="s">
        <v>493</v>
      </c>
      <c r="D4" s="32" t="s">
        <v>481</v>
      </c>
      <c r="E4" s="32">
        <v>8</v>
      </c>
      <c r="F4" s="32">
        <v>5.0099999999999909</v>
      </c>
      <c r="G4" s="34" t="s">
        <v>731</v>
      </c>
      <c r="H4" s="81">
        <f t="shared" ref="H4:H23" si="0">IF(J4&gt;0,J4,F4)</f>
        <v>5.0099999999999909</v>
      </c>
      <c r="I4" s="39"/>
      <c r="J4" s="35"/>
      <c r="K4" s="63">
        <f>IF(J4&gt;6, J4-6,0)</f>
        <v>0</v>
      </c>
      <c r="L4" s="32"/>
      <c r="M4" s="33"/>
      <c r="N4" s="40"/>
      <c r="O4" s="41"/>
      <c r="P4" s="32"/>
      <c r="Q4" s="32"/>
      <c r="R4" s="34"/>
      <c r="S4" s="39"/>
      <c r="T4" s="41"/>
      <c r="U4" s="65"/>
      <c r="V4" s="69"/>
      <c r="W4" s="80"/>
      <c r="X4" s="76"/>
      <c r="Y4" s="78"/>
      <c r="Z4" s="74"/>
      <c r="AA4" s="69"/>
      <c r="AB4" s="72"/>
    </row>
    <row r="5" spans="1:28" x14ac:dyDescent="0.25">
      <c r="A5" s="32" t="s">
        <v>246</v>
      </c>
      <c r="B5" s="32" t="s">
        <v>369</v>
      </c>
      <c r="C5" s="32" t="s">
        <v>493</v>
      </c>
      <c r="D5" s="32" t="s">
        <v>481</v>
      </c>
      <c r="E5" s="32">
        <v>8</v>
      </c>
      <c r="F5" s="32">
        <v>8.4099999999999682</v>
      </c>
      <c r="G5" s="34" t="s">
        <v>543</v>
      </c>
      <c r="H5" s="81">
        <f t="shared" si="0"/>
        <v>8.4099999999999682</v>
      </c>
      <c r="I5" s="39"/>
      <c r="J5" s="35"/>
      <c r="K5" s="63">
        <f t="shared" ref="K5:K68" si="1">IF(J5&gt;6, J5-6,0)</f>
        <v>0</v>
      </c>
      <c r="L5" s="32"/>
      <c r="M5" s="33"/>
      <c r="N5" s="40"/>
      <c r="O5" s="41"/>
      <c r="P5" s="32"/>
      <c r="Q5" s="32"/>
      <c r="R5" s="34"/>
      <c r="S5" s="39"/>
      <c r="T5" s="41"/>
      <c r="U5" s="65"/>
      <c r="V5" s="69"/>
      <c r="W5" s="80"/>
      <c r="X5" s="76"/>
      <c r="Y5" s="78"/>
      <c r="Z5" s="74"/>
      <c r="AA5" s="69"/>
      <c r="AB5" s="72"/>
    </row>
    <row r="6" spans="1:28" x14ac:dyDescent="0.25">
      <c r="A6" s="32" t="s">
        <v>247</v>
      </c>
      <c r="B6" s="32" t="s">
        <v>370</v>
      </c>
      <c r="C6" s="32" t="s">
        <v>494</v>
      </c>
      <c r="D6" s="32" t="s">
        <v>481</v>
      </c>
      <c r="E6" s="32">
        <v>8</v>
      </c>
      <c r="F6" s="32">
        <v>6.3599999999999</v>
      </c>
      <c r="G6" s="34" t="s">
        <v>732</v>
      </c>
      <c r="H6" s="81">
        <f t="shared" si="0"/>
        <v>6.3599999999999</v>
      </c>
      <c r="I6" s="39"/>
      <c r="J6" s="35"/>
      <c r="K6" s="63">
        <f t="shared" si="1"/>
        <v>0</v>
      </c>
      <c r="L6" s="32"/>
      <c r="M6" s="33"/>
      <c r="N6" s="40"/>
      <c r="O6" s="41"/>
      <c r="P6" s="32"/>
      <c r="Q6" s="32"/>
      <c r="R6" s="34"/>
      <c r="S6" s="39"/>
      <c r="T6" s="41"/>
      <c r="U6" s="65"/>
      <c r="V6" s="69"/>
      <c r="W6" s="80"/>
      <c r="X6" s="76"/>
      <c r="Y6" s="78"/>
      <c r="Z6" s="74"/>
      <c r="AA6" s="69"/>
      <c r="AB6" s="72"/>
    </row>
    <row r="7" spans="1:28" x14ac:dyDescent="0.25">
      <c r="A7" s="32" t="s">
        <v>248</v>
      </c>
      <c r="B7" s="32" t="s">
        <v>372</v>
      </c>
      <c r="C7" s="32" t="s">
        <v>493</v>
      </c>
      <c r="D7" s="32" t="s">
        <v>481</v>
      </c>
      <c r="E7" s="32">
        <v>8</v>
      </c>
      <c r="F7" s="32">
        <v>17.199999999999932</v>
      </c>
      <c r="G7" s="34" t="s">
        <v>732</v>
      </c>
      <c r="H7" s="81">
        <f t="shared" si="0"/>
        <v>17.199999999999932</v>
      </c>
      <c r="I7" s="39"/>
      <c r="J7" s="35"/>
      <c r="K7" s="63">
        <f t="shared" si="1"/>
        <v>0</v>
      </c>
      <c r="L7" s="32"/>
      <c r="M7" s="33"/>
      <c r="N7" s="40"/>
      <c r="O7" s="41"/>
      <c r="P7" s="32"/>
      <c r="Q7" s="32"/>
      <c r="R7" s="34"/>
      <c r="S7" s="39"/>
      <c r="T7" s="41"/>
      <c r="U7" s="65"/>
      <c r="V7" s="69"/>
      <c r="W7" s="80"/>
      <c r="X7" s="76"/>
      <c r="Y7" s="78"/>
      <c r="Z7" s="74"/>
      <c r="AA7" s="69"/>
      <c r="AB7" s="72"/>
    </row>
    <row r="8" spans="1:28" x14ac:dyDescent="0.25">
      <c r="A8" s="32" t="s">
        <v>249</v>
      </c>
      <c r="B8" s="32" t="s">
        <v>373</v>
      </c>
      <c r="C8" s="32" t="s">
        <v>494</v>
      </c>
      <c r="D8" s="32" t="s">
        <v>481</v>
      </c>
      <c r="E8" s="32">
        <v>8</v>
      </c>
      <c r="F8" s="32">
        <v>8.8400000000000318</v>
      </c>
      <c r="G8" s="34" t="s">
        <v>279</v>
      </c>
      <c r="H8" s="81">
        <f t="shared" si="0"/>
        <v>8.8400000000000318</v>
      </c>
      <c r="I8" s="39"/>
      <c r="J8" s="35"/>
      <c r="K8" s="63">
        <f t="shared" si="1"/>
        <v>0</v>
      </c>
      <c r="L8" s="32"/>
      <c r="M8" s="33"/>
      <c r="N8" s="40"/>
      <c r="O8" s="41"/>
      <c r="P8" s="32"/>
      <c r="Q8" s="32"/>
      <c r="R8" s="34"/>
      <c r="S8" s="39"/>
      <c r="T8" s="41"/>
      <c r="U8" s="65"/>
      <c r="V8" s="69"/>
      <c r="W8" s="80"/>
      <c r="X8" s="76"/>
      <c r="Y8" s="78"/>
      <c r="Z8" s="74"/>
      <c r="AA8" s="69"/>
      <c r="AB8" s="72"/>
    </row>
    <row r="9" spans="1:28" x14ac:dyDescent="0.25">
      <c r="A9" s="32" t="s">
        <v>250</v>
      </c>
      <c r="B9" s="32" t="s">
        <v>377</v>
      </c>
      <c r="C9" s="32" t="s">
        <v>494</v>
      </c>
      <c r="D9" s="32" t="s">
        <v>481</v>
      </c>
      <c r="E9" s="32">
        <v>8</v>
      </c>
      <c r="F9" s="32">
        <v>6.9199999999999591</v>
      </c>
      <c r="G9" s="34" t="s">
        <v>733</v>
      </c>
      <c r="H9" s="81">
        <f t="shared" si="0"/>
        <v>6.9199999999999591</v>
      </c>
      <c r="I9" s="39"/>
      <c r="J9" s="35"/>
      <c r="K9" s="63">
        <f t="shared" si="1"/>
        <v>0</v>
      </c>
      <c r="L9" s="32"/>
      <c r="M9" s="33"/>
      <c r="N9" s="40"/>
      <c r="O9" s="41"/>
      <c r="P9" s="32"/>
      <c r="Q9" s="32"/>
      <c r="R9" s="34"/>
      <c r="S9" s="39"/>
      <c r="T9" s="41"/>
      <c r="U9" s="65"/>
      <c r="V9" s="69"/>
      <c r="W9" s="80"/>
      <c r="X9" s="76"/>
      <c r="Y9" s="78"/>
      <c r="Z9" s="74"/>
      <c r="AA9" s="69"/>
      <c r="AB9" s="72"/>
    </row>
    <row r="10" spans="1:28" x14ac:dyDescent="0.25">
      <c r="A10" s="32" t="s">
        <v>251</v>
      </c>
      <c r="B10" s="32" t="s">
        <v>375</v>
      </c>
      <c r="C10" s="32" t="s">
        <v>494</v>
      </c>
      <c r="D10" s="32" t="s">
        <v>481</v>
      </c>
      <c r="E10" s="32">
        <v>8</v>
      </c>
      <c r="F10" s="32">
        <v>6.3700000000000045</v>
      </c>
      <c r="G10" s="34" t="s">
        <v>734</v>
      </c>
      <c r="H10" s="81">
        <f t="shared" si="0"/>
        <v>6.3700000000000045</v>
      </c>
      <c r="I10" s="39"/>
      <c r="J10" s="35"/>
      <c r="K10" s="63">
        <f t="shared" si="1"/>
        <v>0</v>
      </c>
      <c r="L10" s="32"/>
      <c r="M10" s="33"/>
      <c r="N10" s="40"/>
      <c r="O10" s="41"/>
      <c r="P10" s="32"/>
      <c r="Q10" s="32"/>
      <c r="R10" s="34"/>
      <c r="S10" s="39" t="s">
        <v>753</v>
      </c>
      <c r="T10" s="41"/>
      <c r="U10" s="65"/>
      <c r="V10" s="69"/>
      <c r="W10" s="80"/>
      <c r="X10" s="76"/>
      <c r="Y10" s="78"/>
      <c r="Z10" s="74"/>
      <c r="AA10" s="69"/>
      <c r="AB10" s="72"/>
    </row>
    <row r="11" spans="1:28" x14ac:dyDescent="0.25">
      <c r="A11" s="32" t="s">
        <v>252</v>
      </c>
      <c r="B11" s="32" t="s">
        <v>376</v>
      </c>
      <c r="C11" s="32" t="s">
        <v>494</v>
      </c>
      <c r="D11" s="32" t="s">
        <v>481</v>
      </c>
      <c r="E11" s="32">
        <v>8</v>
      </c>
      <c r="F11" s="32">
        <v>5.5099999999999909</v>
      </c>
      <c r="G11" s="34" t="s">
        <v>273</v>
      </c>
      <c r="H11" s="81">
        <f t="shared" si="0"/>
        <v>5.5099999999999909</v>
      </c>
      <c r="I11" s="39"/>
      <c r="J11" s="35"/>
      <c r="K11" s="63">
        <f t="shared" si="1"/>
        <v>0</v>
      </c>
      <c r="L11" s="32"/>
      <c r="M11" s="33"/>
      <c r="N11" s="40"/>
      <c r="O11" s="41"/>
      <c r="P11" s="32"/>
      <c r="Q11" s="32"/>
      <c r="R11" s="34"/>
      <c r="S11" s="39"/>
      <c r="T11" s="41"/>
      <c r="U11" s="65"/>
      <c r="V11" s="69"/>
      <c r="W11" s="80"/>
      <c r="X11" s="76"/>
      <c r="Y11" s="78"/>
      <c r="Z11" s="74"/>
      <c r="AA11" s="69"/>
      <c r="AB11" s="72"/>
    </row>
    <row r="12" spans="1:28" x14ac:dyDescent="0.25">
      <c r="A12" s="32" t="s">
        <v>253</v>
      </c>
      <c r="B12" s="32" t="s">
        <v>378</v>
      </c>
      <c r="C12" s="32" t="s">
        <v>495</v>
      </c>
      <c r="D12" s="32" t="s">
        <v>481</v>
      </c>
      <c r="E12" s="32">
        <v>8</v>
      </c>
      <c r="F12" s="32">
        <v>5.7799999999999727</v>
      </c>
      <c r="G12" s="34" t="s">
        <v>273</v>
      </c>
      <c r="H12" s="81">
        <f t="shared" si="0"/>
        <v>5.7799999999999727</v>
      </c>
      <c r="I12" s="39"/>
      <c r="J12" s="35"/>
      <c r="K12" s="63">
        <f t="shared" si="1"/>
        <v>0</v>
      </c>
      <c r="L12" s="32"/>
      <c r="M12" s="33"/>
      <c r="N12" s="40"/>
      <c r="O12" s="41"/>
      <c r="P12" s="32"/>
      <c r="Q12" s="32"/>
      <c r="R12" s="34"/>
      <c r="S12" s="39"/>
      <c r="T12" s="41"/>
      <c r="U12" s="65"/>
      <c r="V12" s="69"/>
      <c r="W12" s="80"/>
      <c r="X12" s="76"/>
      <c r="Y12" s="78"/>
      <c r="Z12" s="74"/>
      <c r="AA12" s="69"/>
      <c r="AB12" s="72"/>
    </row>
    <row r="13" spans="1:28" x14ac:dyDescent="0.25">
      <c r="A13" s="32" t="s">
        <v>254</v>
      </c>
      <c r="B13" s="32" t="s">
        <v>379</v>
      </c>
      <c r="C13" s="32" t="s">
        <v>494</v>
      </c>
      <c r="D13" s="32" t="s">
        <v>481</v>
      </c>
      <c r="E13" s="32">
        <v>8</v>
      </c>
      <c r="F13" s="32">
        <v>5.4700000000000273</v>
      </c>
      <c r="G13" s="34" t="s">
        <v>273</v>
      </c>
      <c r="H13" s="81">
        <f t="shared" si="0"/>
        <v>5.4700000000000273</v>
      </c>
      <c r="I13" s="39"/>
      <c r="J13" s="35"/>
      <c r="K13" s="63">
        <f t="shared" si="1"/>
        <v>0</v>
      </c>
      <c r="L13" s="32"/>
      <c r="M13" s="33"/>
      <c r="N13" s="40"/>
      <c r="O13" s="41"/>
      <c r="P13" s="32"/>
      <c r="Q13" s="32"/>
      <c r="R13" s="34"/>
      <c r="S13" s="39"/>
      <c r="T13" s="41"/>
      <c r="U13" s="65"/>
      <c r="V13" s="69"/>
      <c r="W13" s="80"/>
      <c r="X13" s="76"/>
      <c r="Y13" s="78"/>
      <c r="Z13" s="74"/>
      <c r="AA13" s="69"/>
      <c r="AB13" s="72"/>
    </row>
    <row r="14" spans="1:28" x14ac:dyDescent="0.25">
      <c r="A14" s="32" t="s">
        <v>255</v>
      </c>
      <c r="B14" s="32" t="s">
        <v>382</v>
      </c>
      <c r="C14" s="32" t="s">
        <v>494</v>
      </c>
      <c r="D14" s="32" t="s">
        <v>481</v>
      </c>
      <c r="E14" s="32">
        <v>8</v>
      </c>
      <c r="F14" s="32">
        <v>5.9499999999999318</v>
      </c>
      <c r="G14" s="34" t="s">
        <v>273</v>
      </c>
      <c r="H14" s="81">
        <f t="shared" si="0"/>
        <v>5.9499999999999318</v>
      </c>
      <c r="I14" s="39"/>
      <c r="J14" s="35"/>
      <c r="K14" s="63">
        <f t="shared" si="1"/>
        <v>0</v>
      </c>
      <c r="L14" s="32"/>
      <c r="M14" s="33"/>
      <c r="N14" s="40"/>
      <c r="O14" s="41"/>
      <c r="P14" s="32"/>
      <c r="Q14" s="32"/>
      <c r="R14" s="34"/>
      <c r="S14" s="39"/>
      <c r="T14" s="41"/>
      <c r="U14" s="65"/>
      <c r="V14" s="69"/>
      <c r="W14" s="80"/>
      <c r="X14" s="76"/>
      <c r="Y14" s="78"/>
      <c r="Z14" s="74"/>
      <c r="AA14" s="69"/>
      <c r="AB14" s="72"/>
    </row>
    <row r="15" spans="1:28" x14ac:dyDescent="0.25">
      <c r="A15" s="32" t="s">
        <v>256</v>
      </c>
      <c r="B15" s="32" t="s">
        <v>605</v>
      </c>
      <c r="C15" s="32" t="s">
        <v>494</v>
      </c>
      <c r="D15" s="32" t="s">
        <v>483</v>
      </c>
      <c r="E15" s="32">
        <v>8</v>
      </c>
      <c r="F15" s="32">
        <v>5.07000000000005</v>
      </c>
      <c r="G15" s="34" t="s">
        <v>273</v>
      </c>
      <c r="H15" s="81">
        <f t="shared" si="0"/>
        <v>5.07000000000005</v>
      </c>
      <c r="I15" s="39"/>
      <c r="J15" s="35"/>
      <c r="K15" s="63">
        <f t="shared" si="1"/>
        <v>0</v>
      </c>
      <c r="L15" s="32"/>
      <c r="M15" s="33"/>
      <c r="N15" s="40"/>
      <c r="O15" s="41"/>
      <c r="P15" s="32"/>
      <c r="Q15" s="32"/>
      <c r="R15" s="34"/>
      <c r="S15" s="39"/>
      <c r="T15" s="41"/>
      <c r="U15" s="65"/>
      <c r="V15" s="69"/>
      <c r="W15" s="80"/>
      <c r="X15" s="76"/>
      <c r="Y15" s="78"/>
      <c r="Z15" s="74"/>
      <c r="AA15" s="69"/>
      <c r="AB15" s="72"/>
    </row>
    <row r="16" spans="1:28" x14ac:dyDescent="0.25">
      <c r="A16" s="32" t="s">
        <v>257</v>
      </c>
      <c r="B16" s="32" t="s">
        <v>606</v>
      </c>
      <c r="C16" s="32" t="s">
        <v>502</v>
      </c>
      <c r="D16" s="32" t="s">
        <v>481</v>
      </c>
      <c r="E16" s="32">
        <v>8</v>
      </c>
      <c r="F16" s="32">
        <v>6</v>
      </c>
      <c r="G16" s="34" t="s">
        <v>273</v>
      </c>
      <c r="H16" s="81">
        <f t="shared" si="0"/>
        <v>6</v>
      </c>
      <c r="I16" s="39"/>
      <c r="J16" s="35"/>
      <c r="K16" s="63">
        <f t="shared" si="1"/>
        <v>0</v>
      </c>
      <c r="L16" s="32"/>
      <c r="M16" s="33"/>
      <c r="N16" s="40"/>
      <c r="O16" s="41"/>
      <c r="P16" s="32"/>
      <c r="Q16" s="32"/>
      <c r="R16" s="34"/>
      <c r="S16" s="39"/>
      <c r="T16" s="41"/>
      <c r="U16" s="65"/>
      <c r="V16" s="69"/>
      <c r="W16" s="80"/>
      <c r="X16" s="76"/>
      <c r="Y16" s="78"/>
      <c r="Z16" s="74"/>
      <c r="AA16" s="69"/>
      <c r="AB16" s="72"/>
    </row>
    <row r="17" spans="1:28" x14ac:dyDescent="0.25">
      <c r="A17" s="32" t="s">
        <v>258</v>
      </c>
      <c r="B17" s="32" t="s">
        <v>607</v>
      </c>
      <c r="C17" s="32" t="s">
        <v>502</v>
      </c>
      <c r="D17" s="32" t="s">
        <v>481</v>
      </c>
      <c r="E17" s="32">
        <v>8</v>
      </c>
      <c r="F17" s="32">
        <v>7.1000000000000227</v>
      </c>
      <c r="G17" s="34" t="s">
        <v>273</v>
      </c>
      <c r="H17" s="81">
        <f t="shared" si="0"/>
        <v>7.1000000000000227</v>
      </c>
      <c r="I17" s="39"/>
      <c r="J17" s="35"/>
      <c r="K17" s="63">
        <f t="shared" si="1"/>
        <v>0</v>
      </c>
      <c r="L17" s="32"/>
      <c r="M17" s="33"/>
      <c r="N17" s="40"/>
      <c r="O17" s="41"/>
      <c r="P17" s="32"/>
      <c r="Q17" s="32"/>
      <c r="R17" s="34"/>
      <c r="S17" s="39"/>
      <c r="T17" s="41"/>
      <c r="U17" s="65"/>
      <c r="V17" s="69"/>
      <c r="W17" s="80"/>
      <c r="X17" s="76"/>
      <c r="Y17" s="78"/>
      <c r="Z17" s="74"/>
      <c r="AA17" s="69"/>
      <c r="AB17" s="72"/>
    </row>
    <row r="18" spans="1:28" x14ac:dyDescent="0.25">
      <c r="A18" s="32" t="s">
        <v>259</v>
      </c>
      <c r="B18" s="32" t="s">
        <v>430</v>
      </c>
      <c r="C18" s="32" t="s">
        <v>502</v>
      </c>
      <c r="D18" s="32" t="s">
        <v>483</v>
      </c>
      <c r="E18" s="32">
        <v>8</v>
      </c>
      <c r="F18" s="32">
        <v>9.8799999999999955</v>
      </c>
      <c r="G18" s="34" t="s">
        <v>273</v>
      </c>
      <c r="H18" s="81">
        <f t="shared" si="0"/>
        <v>9.8799999999999955</v>
      </c>
      <c r="I18" s="39"/>
      <c r="J18" s="35"/>
      <c r="K18" s="63">
        <f t="shared" si="1"/>
        <v>0</v>
      </c>
      <c r="L18" s="32"/>
      <c r="M18" s="33"/>
      <c r="N18" s="40"/>
      <c r="O18" s="41"/>
      <c r="P18" s="32"/>
      <c r="Q18" s="32"/>
      <c r="R18" s="34"/>
      <c r="S18" s="39"/>
      <c r="T18" s="41"/>
      <c r="U18" s="65"/>
      <c r="V18" s="69"/>
      <c r="W18" s="80"/>
      <c r="X18" s="76"/>
      <c r="Y18" s="78"/>
      <c r="Z18" s="74"/>
      <c r="AA18" s="69"/>
      <c r="AB18" s="72"/>
    </row>
    <row r="19" spans="1:28" x14ac:dyDescent="0.25">
      <c r="A19" s="32" t="s">
        <v>261</v>
      </c>
      <c r="B19" s="32" t="s">
        <v>608</v>
      </c>
      <c r="C19" s="32" t="s">
        <v>497</v>
      </c>
      <c r="D19" s="32" t="s">
        <v>481</v>
      </c>
      <c r="E19" s="32">
        <v>8</v>
      </c>
      <c r="F19" s="32">
        <v>8.5</v>
      </c>
      <c r="G19" s="34" t="s">
        <v>273</v>
      </c>
      <c r="H19" s="81">
        <f t="shared" si="0"/>
        <v>8.5</v>
      </c>
      <c r="I19" s="39"/>
      <c r="J19" s="35"/>
      <c r="K19" s="63">
        <f t="shared" si="1"/>
        <v>0</v>
      </c>
      <c r="L19" s="32"/>
      <c r="M19" s="33"/>
      <c r="N19" s="40"/>
      <c r="O19" s="41"/>
      <c r="P19" s="32"/>
      <c r="Q19" s="32"/>
      <c r="R19" s="34"/>
      <c r="S19" s="39"/>
      <c r="T19" s="41"/>
      <c r="U19" s="65"/>
      <c r="V19" s="69"/>
      <c r="W19" s="80"/>
      <c r="X19" s="76"/>
      <c r="Y19" s="78"/>
      <c r="Z19" s="74"/>
      <c r="AA19" s="69"/>
      <c r="AB19" s="72"/>
    </row>
    <row r="20" spans="1:28" x14ac:dyDescent="0.25">
      <c r="A20" s="32" t="s">
        <v>263</v>
      </c>
      <c r="B20" s="32" t="s">
        <v>609</v>
      </c>
      <c r="C20" s="32" t="s">
        <v>497</v>
      </c>
      <c r="D20" s="32" t="s">
        <v>481</v>
      </c>
      <c r="E20" s="32">
        <v>8</v>
      </c>
      <c r="F20" s="32">
        <v>8.5</v>
      </c>
      <c r="G20" s="34" t="s">
        <v>273</v>
      </c>
      <c r="H20" s="81">
        <f t="shared" si="0"/>
        <v>8.5</v>
      </c>
      <c r="I20" s="39"/>
      <c r="J20" s="35"/>
      <c r="K20" s="63">
        <f t="shared" si="1"/>
        <v>0</v>
      </c>
      <c r="L20" s="32"/>
      <c r="M20" s="33"/>
      <c r="N20" s="40"/>
      <c r="O20" s="41"/>
      <c r="P20" s="32"/>
      <c r="Q20" s="32"/>
      <c r="R20" s="34"/>
      <c r="S20" s="39" t="s">
        <v>754</v>
      </c>
      <c r="T20" s="41"/>
      <c r="U20" s="65"/>
      <c r="V20" s="69"/>
      <c r="W20" s="80"/>
      <c r="X20" s="76"/>
      <c r="Y20" s="78"/>
      <c r="Z20" s="74"/>
      <c r="AA20" s="69"/>
      <c r="AB20" s="72"/>
    </row>
    <row r="21" spans="1:28" x14ac:dyDescent="0.25">
      <c r="A21" s="32" t="s">
        <v>264</v>
      </c>
      <c r="B21" s="32" t="s">
        <v>610</v>
      </c>
      <c r="C21" s="32" t="s">
        <v>497</v>
      </c>
      <c r="D21" s="32" t="s">
        <v>481</v>
      </c>
      <c r="E21" s="32">
        <v>8</v>
      </c>
      <c r="F21" s="32">
        <v>6.6000000000000227</v>
      </c>
      <c r="G21" s="34" t="s">
        <v>735</v>
      </c>
      <c r="H21" s="81">
        <f t="shared" si="0"/>
        <v>6.6000000000000227</v>
      </c>
      <c r="I21" s="39"/>
      <c r="J21" s="35"/>
      <c r="K21" s="63">
        <f t="shared" si="1"/>
        <v>0</v>
      </c>
      <c r="L21" s="32"/>
      <c r="M21" s="33"/>
      <c r="N21" s="40"/>
      <c r="O21" s="41"/>
      <c r="P21" s="32"/>
      <c r="Q21" s="32"/>
      <c r="R21" s="34"/>
      <c r="S21" s="39"/>
      <c r="T21" s="41"/>
      <c r="U21" s="65"/>
      <c r="V21" s="69"/>
      <c r="W21" s="80"/>
      <c r="X21" s="76"/>
      <c r="Y21" s="78"/>
      <c r="Z21" s="74"/>
      <c r="AA21" s="69"/>
      <c r="AB21" s="72"/>
    </row>
    <row r="22" spans="1:28" x14ac:dyDescent="0.25">
      <c r="A22" s="32" t="s">
        <v>265</v>
      </c>
      <c r="B22" s="32" t="s">
        <v>385</v>
      </c>
      <c r="C22" s="32" t="s">
        <v>496</v>
      </c>
      <c r="D22" s="32" t="s">
        <v>481</v>
      </c>
      <c r="E22" s="32">
        <v>8</v>
      </c>
      <c r="F22" s="32">
        <v>7</v>
      </c>
      <c r="G22" s="34" t="s">
        <v>273</v>
      </c>
      <c r="H22" s="81">
        <f t="shared" si="0"/>
        <v>7</v>
      </c>
      <c r="I22" s="39"/>
      <c r="J22" s="35"/>
      <c r="K22" s="63">
        <f t="shared" si="1"/>
        <v>0</v>
      </c>
      <c r="L22" s="32"/>
      <c r="M22" s="33"/>
      <c r="N22" s="40"/>
      <c r="O22" s="41"/>
      <c r="P22" s="32"/>
      <c r="Q22" s="32"/>
      <c r="R22" s="34"/>
      <c r="S22" s="39"/>
      <c r="T22" s="41"/>
      <c r="U22" s="65"/>
      <c r="V22" s="69"/>
      <c r="W22" s="80"/>
      <c r="X22" s="76"/>
      <c r="Y22" s="78"/>
      <c r="Z22" s="74"/>
      <c r="AA22" s="69"/>
      <c r="AB22" s="72"/>
    </row>
    <row r="23" spans="1:28" x14ac:dyDescent="0.25">
      <c r="A23" s="32" t="s">
        <v>266</v>
      </c>
      <c r="B23" s="32" t="s">
        <v>387</v>
      </c>
      <c r="C23" s="32" t="s">
        <v>496</v>
      </c>
      <c r="D23" s="32" t="s">
        <v>481</v>
      </c>
      <c r="E23" s="32">
        <v>8</v>
      </c>
      <c r="F23" s="32">
        <v>4.6000000000000227</v>
      </c>
      <c r="G23" s="34" t="s">
        <v>273</v>
      </c>
      <c r="H23" s="81">
        <f t="shared" si="0"/>
        <v>4.6000000000000227</v>
      </c>
      <c r="I23" s="39"/>
      <c r="J23" s="35"/>
      <c r="K23" s="63">
        <f t="shared" si="1"/>
        <v>0</v>
      </c>
      <c r="L23" s="32"/>
      <c r="M23" s="33"/>
      <c r="N23" s="40"/>
      <c r="O23" s="41"/>
      <c r="P23" s="32"/>
      <c r="Q23" s="32"/>
      <c r="R23" s="34"/>
      <c r="S23" s="39"/>
      <c r="T23" s="41"/>
      <c r="U23" s="65"/>
      <c r="V23" s="69"/>
      <c r="W23" s="80"/>
      <c r="X23" s="76"/>
      <c r="Y23" s="78"/>
      <c r="Z23" s="74"/>
      <c r="AA23" s="69"/>
      <c r="AB23" s="72"/>
    </row>
    <row r="24" spans="1:28" x14ac:dyDescent="0.25">
      <c r="A24" s="32" t="s">
        <v>267</v>
      </c>
      <c r="B24" s="32" t="s">
        <v>389</v>
      </c>
      <c r="C24" s="32" t="s">
        <v>497</v>
      </c>
      <c r="D24" s="32" t="s">
        <v>481</v>
      </c>
      <c r="E24" s="32">
        <v>8</v>
      </c>
      <c r="F24" s="32">
        <v>5.5</v>
      </c>
      <c r="G24" s="34" t="s">
        <v>736</v>
      </c>
      <c r="H24" s="81">
        <f t="shared" ref="H24:H87" si="2">IF(J24&gt;0,J24,F24)</f>
        <v>5.5</v>
      </c>
      <c r="I24" s="39"/>
      <c r="J24" s="35"/>
      <c r="K24" s="63">
        <f t="shared" si="1"/>
        <v>0</v>
      </c>
      <c r="L24" s="32"/>
      <c r="M24" s="33"/>
      <c r="N24" s="40"/>
      <c r="O24" s="41"/>
      <c r="P24" s="32"/>
      <c r="Q24" s="32"/>
      <c r="R24" s="34"/>
      <c r="S24" s="39"/>
      <c r="T24" s="41"/>
      <c r="U24" s="65"/>
      <c r="V24" s="69"/>
      <c r="W24" s="80"/>
      <c r="X24" s="76"/>
      <c r="Y24" s="78"/>
      <c r="Z24" s="74"/>
      <c r="AA24" s="69"/>
      <c r="AB24" s="72"/>
    </row>
    <row r="25" spans="1:28" x14ac:dyDescent="0.25">
      <c r="A25" s="32" t="s">
        <v>268</v>
      </c>
      <c r="B25" s="32" t="s">
        <v>390</v>
      </c>
      <c r="C25" s="32" t="s">
        <v>497</v>
      </c>
      <c r="D25" s="32" t="s">
        <v>481</v>
      </c>
      <c r="E25" s="32">
        <v>8</v>
      </c>
      <c r="F25" s="32">
        <v>4.5</v>
      </c>
      <c r="G25" s="34" t="s">
        <v>273</v>
      </c>
      <c r="H25" s="81">
        <f t="shared" si="2"/>
        <v>4.5</v>
      </c>
      <c r="I25" s="39"/>
      <c r="J25" s="35"/>
      <c r="K25" s="63">
        <f t="shared" si="1"/>
        <v>0</v>
      </c>
      <c r="L25" s="32"/>
      <c r="M25" s="33"/>
      <c r="N25" s="40"/>
      <c r="O25" s="41"/>
      <c r="P25" s="32"/>
      <c r="Q25" s="32"/>
      <c r="R25" s="34"/>
      <c r="S25" s="39"/>
      <c r="T25" s="41"/>
      <c r="U25" s="65"/>
      <c r="V25" s="69"/>
      <c r="W25" s="80"/>
      <c r="X25" s="76"/>
      <c r="Y25" s="78"/>
      <c r="Z25" s="74"/>
      <c r="AA25" s="69"/>
      <c r="AB25" s="72"/>
    </row>
    <row r="26" spans="1:28" x14ac:dyDescent="0.25">
      <c r="A26" s="32" t="s">
        <v>269</v>
      </c>
      <c r="B26" s="32" t="s">
        <v>393</v>
      </c>
      <c r="C26" s="32" t="s">
        <v>498</v>
      </c>
      <c r="D26" s="32" t="s">
        <v>481</v>
      </c>
      <c r="E26" s="32">
        <v>8</v>
      </c>
      <c r="F26" s="32">
        <v>7.1000000000000227</v>
      </c>
      <c r="G26" s="34" t="s">
        <v>731</v>
      </c>
      <c r="H26" s="81">
        <f t="shared" si="2"/>
        <v>7.1000000000000227</v>
      </c>
      <c r="I26" s="39"/>
      <c r="J26" s="35"/>
      <c r="K26" s="63">
        <f t="shared" si="1"/>
        <v>0</v>
      </c>
      <c r="L26" s="32"/>
      <c r="M26" s="33"/>
      <c r="N26" s="40"/>
      <c r="O26" s="41"/>
      <c r="P26" s="32"/>
      <c r="Q26" s="32"/>
      <c r="R26" s="34"/>
      <c r="S26" s="39"/>
      <c r="T26" s="41"/>
      <c r="U26" s="65"/>
      <c r="V26" s="69"/>
      <c r="W26" s="80"/>
      <c r="X26" s="76"/>
      <c r="Y26" s="78"/>
      <c r="Z26" s="74"/>
      <c r="AA26" s="69"/>
      <c r="AB26" s="72"/>
    </row>
    <row r="27" spans="1:28" x14ac:dyDescent="0.25">
      <c r="A27" s="32" t="s">
        <v>270</v>
      </c>
      <c r="B27" s="32" t="s">
        <v>394</v>
      </c>
      <c r="C27" s="32" t="s">
        <v>496</v>
      </c>
      <c r="D27" s="32" t="s">
        <v>481</v>
      </c>
      <c r="E27" s="32">
        <v>8</v>
      </c>
      <c r="F27" s="32">
        <v>12</v>
      </c>
      <c r="G27" s="34" t="s">
        <v>734</v>
      </c>
      <c r="H27" s="81">
        <f t="shared" si="2"/>
        <v>12</v>
      </c>
      <c r="I27" s="39"/>
      <c r="J27" s="35"/>
      <c r="K27" s="63">
        <f t="shared" si="1"/>
        <v>0</v>
      </c>
      <c r="L27" s="32"/>
      <c r="M27" s="33"/>
      <c r="N27" s="40"/>
      <c r="O27" s="41"/>
      <c r="P27" s="32"/>
      <c r="Q27" s="32"/>
      <c r="R27" s="34"/>
      <c r="S27" s="39"/>
      <c r="T27" s="41"/>
      <c r="U27" s="65"/>
      <c r="V27" s="69"/>
      <c r="W27" s="80"/>
      <c r="X27" s="76"/>
      <c r="Y27" s="78"/>
      <c r="Z27" s="74"/>
      <c r="AA27" s="69"/>
      <c r="AB27" s="72"/>
    </row>
    <row r="28" spans="1:28" x14ac:dyDescent="0.25">
      <c r="A28" s="32" t="s">
        <v>271</v>
      </c>
      <c r="B28" s="32" t="s">
        <v>611</v>
      </c>
      <c r="C28" s="32" t="s">
        <v>496</v>
      </c>
      <c r="D28" s="32" t="s">
        <v>481</v>
      </c>
      <c r="E28" s="32">
        <v>8</v>
      </c>
      <c r="F28" s="32">
        <v>4.6000000000000227</v>
      </c>
      <c r="G28" s="34" t="s">
        <v>273</v>
      </c>
      <c r="H28" s="81">
        <f t="shared" si="2"/>
        <v>4.6000000000000227</v>
      </c>
      <c r="I28" s="39"/>
      <c r="J28" s="35"/>
      <c r="K28" s="63">
        <f t="shared" si="1"/>
        <v>0</v>
      </c>
      <c r="L28" s="32"/>
      <c r="M28" s="33"/>
      <c r="N28" s="40"/>
      <c r="O28" s="41"/>
      <c r="P28" s="32"/>
      <c r="Q28" s="32"/>
      <c r="R28" s="34"/>
      <c r="S28" s="39"/>
      <c r="T28" s="41"/>
      <c r="U28" s="65"/>
      <c r="V28" s="69"/>
      <c r="W28" s="80"/>
      <c r="X28" s="76"/>
      <c r="Y28" s="78"/>
      <c r="Z28" s="74"/>
      <c r="AA28" s="69"/>
      <c r="AB28" s="72"/>
    </row>
    <row r="29" spans="1:28" x14ac:dyDescent="0.25">
      <c r="A29" s="32" t="s">
        <v>612</v>
      </c>
      <c r="B29" s="32" t="s">
        <v>395</v>
      </c>
      <c r="C29" s="32" t="s">
        <v>498</v>
      </c>
      <c r="D29" s="32" t="s">
        <v>481</v>
      </c>
      <c r="E29" s="32">
        <v>8</v>
      </c>
      <c r="F29" s="32">
        <v>7</v>
      </c>
      <c r="G29" s="34" t="s">
        <v>273</v>
      </c>
      <c r="H29" s="81">
        <f t="shared" si="2"/>
        <v>7</v>
      </c>
      <c r="I29" s="39"/>
      <c r="J29" s="35"/>
      <c r="K29" s="63">
        <f t="shared" si="1"/>
        <v>0</v>
      </c>
      <c r="L29" s="32"/>
      <c r="M29" s="33"/>
      <c r="N29" s="40"/>
      <c r="O29" s="41"/>
      <c r="P29" s="32"/>
      <c r="Q29" s="32"/>
      <c r="R29" s="34"/>
      <c r="S29" s="39"/>
      <c r="T29" s="41"/>
      <c r="U29" s="65"/>
      <c r="V29" s="69"/>
      <c r="W29" s="80"/>
      <c r="X29" s="76"/>
      <c r="Y29" s="78"/>
      <c r="Z29" s="74"/>
      <c r="AA29" s="69"/>
      <c r="AB29" s="72"/>
    </row>
    <row r="30" spans="1:28" x14ac:dyDescent="0.25">
      <c r="A30" s="32" t="s">
        <v>613</v>
      </c>
      <c r="B30" s="32" t="s">
        <v>614</v>
      </c>
      <c r="C30" s="32" t="s">
        <v>498</v>
      </c>
      <c r="D30" s="32" t="s">
        <v>481</v>
      </c>
      <c r="E30" s="32">
        <v>8</v>
      </c>
      <c r="F30" s="32">
        <v>7.3999999999999773</v>
      </c>
      <c r="G30" s="34" t="s">
        <v>273</v>
      </c>
      <c r="H30" s="81">
        <f t="shared" si="2"/>
        <v>7.3999999999999773</v>
      </c>
      <c r="I30" s="39"/>
      <c r="J30" s="35"/>
      <c r="K30" s="63">
        <f t="shared" si="1"/>
        <v>0</v>
      </c>
      <c r="L30" s="32"/>
      <c r="M30" s="33"/>
      <c r="N30" s="40"/>
      <c r="O30" s="41"/>
      <c r="P30" s="32"/>
      <c r="Q30" s="32"/>
      <c r="R30" s="34"/>
      <c r="S30" s="39"/>
      <c r="T30" s="41"/>
      <c r="U30" s="65"/>
      <c r="V30" s="69"/>
      <c r="W30" s="80"/>
      <c r="X30" s="76"/>
      <c r="Y30" s="78"/>
      <c r="Z30" s="74"/>
      <c r="AA30" s="69"/>
      <c r="AB30" s="72"/>
    </row>
    <row r="31" spans="1:28" x14ac:dyDescent="0.25">
      <c r="A31" s="32" t="s">
        <v>615</v>
      </c>
      <c r="B31" s="32" t="s">
        <v>420</v>
      </c>
      <c r="C31" s="32" t="s">
        <v>498</v>
      </c>
      <c r="D31" s="32" t="s">
        <v>481</v>
      </c>
      <c r="E31" s="32">
        <v>8</v>
      </c>
      <c r="F31" s="32">
        <v>7.2999999999999545</v>
      </c>
      <c r="G31" s="34" t="s">
        <v>273</v>
      </c>
      <c r="H31" s="81">
        <f t="shared" si="2"/>
        <v>7.2999999999999545</v>
      </c>
      <c r="I31" s="39"/>
      <c r="J31" s="35"/>
      <c r="K31" s="63">
        <f t="shared" si="1"/>
        <v>0</v>
      </c>
      <c r="L31" s="32"/>
      <c r="M31" s="33"/>
      <c r="N31" s="40"/>
      <c r="O31" s="41"/>
      <c r="P31" s="32"/>
      <c r="Q31" s="32"/>
      <c r="R31" s="34"/>
      <c r="S31" s="39"/>
      <c r="T31" s="41"/>
      <c r="U31" s="65"/>
      <c r="V31" s="69"/>
      <c r="W31" s="80"/>
      <c r="X31" s="76"/>
      <c r="Y31" s="78"/>
      <c r="Z31" s="74"/>
      <c r="AA31" s="69"/>
      <c r="AB31" s="72"/>
    </row>
    <row r="32" spans="1:28" x14ac:dyDescent="0.25">
      <c r="A32" s="32" t="s">
        <v>616</v>
      </c>
      <c r="B32" s="32" t="s">
        <v>396</v>
      </c>
      <c r="C32" s="32" t="s">
        <v>493</v>
      </c>
      <c r="D32" s="32" t="s">
        <v>481</v>
      </c>
      <c r="E32" s="32">
        <v>8</v>
      </c>
      <c r="F32" s="32">
        <v>6.3999999999999773</v>
      </c>
      <c r="G32" s="34" t="s">
        <v>732</v>
      </c>
      <c r="H32" s="81">
        <f t="shared" si="2"/>
        <v>6.3999999999999773</v>
      </c>
      <c r="I32" s="39"/>
      <c r="J32" s="35"/>
      <c r="K32" s="63">
        <f t="shared" si="1"/>
        <v>0</v>
      </c>
      <c r="L32" s="32"/>
      <c r="M32" s="33"/>
      <c r="N32" s="40"/>
      <c r="O32" s="41"/>
      <c r="P32" s="32"/>
      <c r="Q32" s="32"/>
      <c r="R32" s="34"/>
      <c r="S32" s="39"/>
      <c r="T32" s="41"/>
      <c r="U32" s="65"/>
      <c r="V32" s="69"/>
      <c r="W32" s="80"/>
      <c r="X32" s="76"/>
      <c r="Y32" s="78"/>
      <c r="Z32" s="74"/>
      <c r="AA32" s="69"/>
      <c r="AB32" s="72"/>
    </row>
    <row r="33" spans="1:28" ht="45" x14ac:dyDescent="0.25">
      <c r="A33" s="32" t="s">
        <v>617</v>
      </c>
      <c r="B33" s="32" t="s">
        <v>392</v>
      </c>
      <c r="C33" s="32" t="s">
        <v>493</v>
      </c>
      <c r="D33" s="32" t="s">
        <v>481</v>
      </c>
      <c r="E33" s="32">
        <v>8</v>
      </c>
      <c r="F33" s="32">
        <v>19.029999999999973</v>
      </c>
      <c r="G33" s="34" t="s">
        <v>737</v>
      </c>
      <c r="H33" s="81">
        <f t="shared" si="2"/>
        <v>19.029999999999973</v>
      </c>
      <c r="I33" s="39"/>
      <c r="J33" s="35"/>
      <c r="K33" s="63">
        <f t="shared" si="1"/>
        <v>0</v>
      </c>
      <c r="L33" s="32"/>
      <c r="M33" s="33"/>
      <c r="N33" s="40"/>
      <c r="O33" s="41"/>
      <c r="P33" s="32"/>
      <c r="Q33" s="32"/>
      <c r="R33" s="34"/>
      <c r="S33" s="39" t="s">
        <v>755</v>
      </c>
      <c r="T33" s="41"/>
      <c r="U33" s="65"/>
      <c r="V33" s="69"/>
      <c r="W33" s="80"/>
      <c r="X33" s="76"/>
      <c r="Y33" s="78"/>
      <c r="Z33" s="74"/>
      <c r="AA33" s="69"/>
      <c r="AB33" s="72"/>
    </row>
    <row r="34" spans="1:28" ht="45" x14ac:dyDescent="0.25">
      <c r="A34" s="32" t="s">
        <v>618</v>
      </c>
      <c r="B34" s="32" t="s">
        <v>397</v>
      </c>
      <c r="C34" s="32" t="s">
        <v>496</v>
      </c>
      <c r="D34" s="32" t="s">
        <v>481</v>
      </c>
      <c r="E34" s="32">
        <v>8</v>
      </c>
      <c r="F34" s="32">
        <v>13.5</v>
      </c>
      <c r="G34" s="34" t="s">
        <v>732</v>
      </c>
      <c r="H34" s="81">
        <f t="shared" si="2"/>
        <v>13.5</v>
      </c>
      <c r="I34" s="39"/>
      <c r="J34" s="35"/>
      <c r="K34" s="63">
        <f t="shared" si="1"/>
        <v>0</v>
      </c>
      <c r="L34" s="32"/>
      <c r="M34" s="33"/>
      <c r="N34" s="40"/>
      <c r="O34" s="41"/>
      <c r="P34" s="32"/>
      <c r="Q34" s="32"/>
      <c r="R34" s="34"/>
      <c r="S34" s="39" t="s">
        <v>756</v>
      </c>
      <c r="T34" s="41"/>
      <c r="U34" s="65"/>
      <c r="V34" s="69"/>
      <c r="W34" s="80"/>
      <c r="X34" s="76"/>
      <c r="Y34" s="78"/>
      <c r="Z34" s="74"/>
      <c r="AA34" s="69"/>
      <c r="AB34" s="72"/>
    </row>
    <row r="35" spans="1:28" x14ac:dyDescent="0.25">
      <c r="A35" s="32" t="s">
        <v>619</v>
      </c>
      <c r="B35" s="32" t="s">
        <v>399</v>
      </c>
      <c r="C35" s="32" t="s">
        <v>493</v>
      </c>
      <c r="D35" s="32" t="s">
        <v>481</v>
      </c>
      <c r="E35" s="32">
        <v>8</v>
      </c>
      <c r="F35" s="32">
        <v>6</v>
      </c>
      <c r="G35" s="34" t="s">
        <v>738</v>
      </c>
      <c r="H35" s="81">
        <f t="shared" si="2"/>
        <v>6</v>
      </c>
      <c r="I35" s="39"/>
      <c r="J35" s="35"/>
      <c r="K35" s="63">
        <f t="shared" si="1"/>
        <v>0</v>
      </c>
      <c r="L35" s="32"/>
      <c r="M35" s="33"/>
      <c r="N35" s="40"/>
      <c r="O35" s="41"/>
      <c r="P35" s="32"/>
      <c r="Q35" s="32"/>
      <c r="R35" s="34"/>
      <c r="S35" s="39"/>
      <c r="T35" s="41"/>
      <c r="U35" s="65"/>
      <c r="V35" s="69"/>
      <c r="W35" s="80"/>
      <c r="X35" s="76"/>
      <c r="Y35" s="78"/>
      <c r="Z35" s="74"/>
      <c r="AA35" s="69"/>
      <c r="AB35" s="72"/>
    </row>
    <row r="36" spans="1:28" x14ac:dyDescent="0.25">
      <c r="A36" s="32" t="s">
        <v>620</v>
      </c>
      <c r="B36" s="32" t="s">
        <v>386</v>
      </c>
      <c r="C36" s="32" t="s">
        <v>496</v>
      </c>
      <c r="D36" s="32" t="s">
        <v>481</v>
      </c>
      <c r="E36" s="32">
        <v>8</v>
      </c>
      <c r="F36" s="32">
        <v>8.7000000000000455</v>
      </c>
      <c r="G36" s="34" t="s">
        <v>273</v>
      </c>
      <c r="H36" s="81">
        <f t="shared" si="2"/>
        <v>8.7000000000000455</v>
      </c>
      <c r="I36" s="39"/>
      <c r="J36" s="35"/>
      <c r="K36" s="63">
        <f t="shared" si="1"/>
        <v>0</v>
      </c>
      <c r="L36" s="32"/>
      <c r="M36" s="33"/>
      <c r="N36" s="40"/>
      <c r="O36" s="41"/>
      <c r="P36" s="32"/>
      <c r="Q36" s="32"/>
      <c r="R36" s="34"/>
      <c r="S36" s="39"/>
      <c r="T36" s="41"/>
      <c r="U36" s="65"/>
      <c r="V36" s="69"/>
      <c r="W36" s="80"/>
      <c r="X36" s="76"/>
      <c r="Y36" s="78"/>
      <c r="Z36" s="74"/>
      <c r="AA36" s="69"/>
      <c r="AB36" s="72"/>
    </row>
    <row r="37" spans="1:28" x14ac:dyDescent="0.25">
      <c r="A37" s="32" t="s">
        <v>621</v>
      </c>
      <c r="B37" s="32" t="s">
        <v>400</v>
      </c>
      <c r="C37" s="32" t="s">
        <v>496</v>
      </c>
      <c r="D37" s="32" t="s">
        <v>481</v>
      </c>
      <c r="E37" s="32">
        <v>8</v>
      </c>
      <c r="F37" s="32">
        <v>11.700000000000045</v>
      </c>
      <c r="G37" s="34" t="s">
        <v>732</v>
      </c>
      <c r="H37" s="81">
        <f t="shared" si="2"/>
        <v>11.700000000000045</v>
      </c>
      <c r="I37" s="39"/>
      <c r="J37" s="35"/>
      <c r="K37" s="63">
        <f t="shared" si="1"/>
        <v>0</v>
      </c>
      <c r="L37" s="32"/>
      <c r="M37" s="33"/>
      <c r="N37" s="40"/>
      <c r="O37" s="41"/>
      <c r="P37" s="32"/>
      <c r="Q37" s="32"/>
      <c r="R37" s="34"/>
      <c r="S37" s="39"/>
      <c r="T37" s="41"/>
      <c r="U37" s="65"/>
      <c r="V37" s="69"/>
      <c r="W37" s="80"/>
      <c r="X37" s="76"/>
      <c r="Y37" s="78"/>
      <c r="Z37" s="74"/>
      <c r="AA37" s="69"/>
      <c r="AB37" s="72"/>
    </row>
    <row r="38" spans="1:28" x14ac:dyDescent="0.25">
      <c r="A38" s="32" t="s">
        <v>622</v>
      </c>
      <c r="B38" s="32" t="s">
        <v>374</v>
      </c>
      <c r="C38" s="32" t="s">
        <v>493</v>
      </c>
      <c r="D38" s="32" t="s">
        <v>481</v>
      </c>
      <c r="E38" s="32">
        <v>8</v>
      </c>
      <c r="F38" s="32">
        <v>10.5</v>
      </c>
      <c r="G38" s="34" t="s">
        <v>739</v>
      </c>
      <c r="H38" s="81">
        <f t="shared" si="2"/>
        <v>10.5</v>
      </c>
      <c r="I38" s="39"/>
      <c r="J38" s="35"/>
      <c r="K38" s="63">
        <f t="shared" si="1"/>
        <v>0</v>
      </c>
      <c r="L38" s="32"/>
      <c r="M38" s="33"/>
      <c r="N38" s="40"/>
      <c r="O38" s="41"/>
      <c r="P38" s="32"/>
      <c r="Q38" s="32"/>
      <c r="R38" s="34"/>
      <c r="S38" s="39"/>
      <c r="T38" s="41"/>
      <c r="U38" s="65"/>
      <c r="V38" s="69"/>
      <c r="W38" s="80"/>
      <c r="X38" s="76"/>
      <c r="Y38" s="78"/>
      <c r="Z38" s="74"/>
      <c r="AA38" s="69"/>
      <c r="AB38" s="72"/>
    </row>
    <row r="39" spans="1:28" x14ac:dyDescent="0.25">
      <c r="A39" s="32" t="s">
        <v>623</v>
      </c>
      <c r="B39" s="32" t="s">
        <v>624</v>
      </c>
      <c r="C39" s="32" t="s">
        <v>493</v>
      </c>
      <c r="D39" s="32" t="s">
        <v>481</v>
      </c>
      <c r="E39" s="32">
        <v>8</v>
      </c>
      <c r="F39" s="32">
        <v>5.25</v>
      </c>
      <c r="G39" s="34" t="s">
        <v>273</v>
      </c>
      <c r="H39" s="81">
        <f t="shared" si="2"/>
        <v>5.25</v>
      </c>
      <c r="I39" s="39"/>
      <c r="J39" s="35"/>
      <c r="K39" s="63">
        <f t="shared" si="1"/>
        <v>0</v>
      </c>
      <c r="L39" s="32"/>
      <c r="M39" s="33"/>
      <c r="N39" s="40"/>
      <c r="O39" s="41"/>
      <c r="P39" s="32"/>
      <c r="Q39" s="32"/>
      <c r="R39" s="34"/>
      <c r="S39" s="39"/>
      <c r="T39" s="41"/>
      <c r="U39" s="65"/>
      <c r="V39" s="69"/>
      <c r="W39" s="80"/>
      <c r="X39" s="76"/>
      <c r="Y39" s="78"/>
      <c r="Z39" s="74"/>
      <c r="AA39" s="69"/>
      <c r="AB39" s="72"/>
    </row>
    <row r="40" spans="1:28" x14ac:dyDescent="0.25">
      <c r="A40" s="32" t="s">
        <v>625</v>
      </c>
      <c r="B40" s="32" t="s">
        <v>626</v>
      </c>
      <c r="C40" s="32" t="s">
        <v>502</v>
      </c>
      <c r="D40" s="32" t="s">
        <v>481</v>
      </c>
      <c r="E40" s="32">
        <v>8</v>
      </c>
      <c r="F40" s="32">
        <v>7</v>
      </c>
      <c r="G40" s="34" t="s">
        <v>273</v>
      </c>
      <c r="H40" s="81">
        <f t="shared" si="2"/>
        <v>7</v>
      </c>
      <c r="I40" s="39"/>
      <c r="J40" s="35"/>
      <c r="K40" s="63">
        <f t="shared" si="1"/>
        <v>0</v>
      </c>
      <c r="L40" s="32"/>
      <c r="M40" s="33"/>
      <c r="N40" s="40"/>
      <c r="O40" s="41"/>
      <c r="P40" s="32"/>
      <c r="Q40" s="32"/>
      <c r="R40" s="34"/>
      <c r="S40" s="39"/>
      <c r="T40" s="41"/>
      <c r="U40" s="65"/>
      <c r="V40" s="69"/>
      <c r="W40" s="80"/>
      <c r="X40" s="76"/>
      <c r="Y40" s="78"/>
      <c r="Z40" s="74"/>
      <c r="AA40" s="69"/>
      <c r="AB40" s="72"/>
    </row>
    <row r="41" spans="1:28" x14ac:dyDescent="0.25">
      <c r="A41" s="32" t="s">
        <v>627</v>
      </c>
      <c r="B41" s="32" t="s">
        <v>402</v>
      </c>
      <c r="C41" s="32" t="s">
        <v>494</v>
      </c>
      <c r="D41" s="32" t="s">
        <v>483</v>
      </c>
      <c r="E41" s="32">
        <v>8</v>
      </c>
      <c r="F41" s="32">
        <v>6.0099999999999909</v>
      </c>
      <c r="G41" s="34" t="s">
        <v>734</v>
      </c>
      <c r="H41" s="81">
        <f t="shared" si="2"/>
        <v>6.0099999999999909</v>
      </c>
      <c r="I41" s="39"/>
      <c r="J41" s="35"/>
      <c r="K41" s="63">
        <f t="shared" si="1"/>
        <v>0</v>
      </c>
      <c r="L41" s="32"/>
      <c r="M41" s="33"/>
      <c r="N41" s="40"/>
      <c r="O41" s="41"/>
      <c r="P41" s="32"/>
      <c r="Q41" s="32"/>
      <c r="R41" s="34"/>
      <c r="S41" s="39"/>
      <c r="T41" s="41"/>
      <c r="U41" s="65"/>
      <c r="V41" s="69"/>
      <c r="W41" s="80"/>
      <c r="X41" s="76"/>
      <c r="Y41" s="78"/>
      <c r="Z41" s="74"/>
      <c r="AA41" s="69"/>
      <c r="AB41" s="72"/>
    </row>
    <row r="42" spans="1:28" x14ac:dyDescent="0.25">
      <c r="A42" s="32" t="s">
        <v>628</v>
      </c>
      <c r="B42" s="32" t="s">
        <v>441</v>
      </c>
      <c r="C42" s="32" t="s">
        <v>494</v>
      </c>
      <c r="D42" s="32" t="s">
        <v>483</v>
      </c>
      <c r="E42" s="32">
        <v>8</v>
      </c>
      <c r="F42" s="32">
        <v>5.07000000000005</v>
      </c>
      <c r="G42" s="34" t="s">
        <v>543</v>
      </c>
      <c r="H42" s="81">
        <f t="shared" si="2"/>
        <v>5.07000000000005</v>
      </c>
      <c r="I42" s="39"/>
      <c r="J42" s="35"/>
      <c r="K42" s="63">
        <f t="shared" si="1"/>
        <v>0</v>
      </c>
      <c r="L42" s="32"/>
      <c r="M42" s="33"/>
      <c r="N42" s="40"/>
      <c r="O42" s="41"/>
      <c r="P42" s="32"/>
      <c r="Q42" s="32"/>
      <c r="R42" s="34"/>
      <c r="S42" s="39"/>
      <c r="T42" s="41"/>
      <c r="U42" s="65"/>
      <c r="V42" s="69"/>
      <c r="W42" s="80"/>
      <c r="X42" s="76"/>
      <c r="Y42" s="78"/>
      <c r="Z42" s="74"/>
      <c r="AA42" s="69"/>
      <c r="AB42" s="72"/>
    </row>
    <row r="43" spans="1:28" x14ac:dyDescent="0.25">
      <c r="A43" s="32" t="s">
        <v>629</v>
      </c>
      <c r="B43" s="32" t="s">
        <v>404</v>
      </c>
      <c r="C43" s="32" t="s">
        <v>494</v>
      </c>
      <c r="D43" s="32" t="s">
        <v>483</v>
      </c>
      <c r="E43" s="32">
        <v>8</v>
      </c>
      <c r="F43" s="32">
        <v>5.0099999999999909</v>
      </c>
      <c r="G43" s="34" t="s">
        <v>273</v>
      </c>
      <c r="H43" s="81">
        <f t="shared" si="2"/>
        <v>5.0099999999999909</v>
      </c>
      <c r="I43" s="39"/>
      <c r="J43" s="35"/>
      <c r="K43" s="63">
        <f t="shared" si="1"/>
        <v>0</v>
      </c>
      <c r="L43" s="32"/>
      <c r="M43" s="33"/>
      <c r="N43" s="40"/>
      <c r="O43" s="41"/>
      <c r="P43" s="32"/>
      <c r="Q43" s="32"/>
      <c r="R43" s="34"/>
      <c r="S43" s="39"/>
      <c r="T43" s="41"/>
      <c r="U43" s="65"/>
      <c r="V43" s="69"/>
      <c r="W43" s="80"/>
      <c r="X43" s="76"/>
      <c r="Y43" s="78"/>
      <c r="Z43" s="74"/>
      <c r="AA43" s="69"/>
      <c r="AB43" s="72"/>
    </row>
    <row r="44" spans="1:28" x14ac:dyDescent="0.25">
      <c r="A44" s="32" t="s">
        <v>630</v>
      </c>
      <c r="B44" s="32" t="s">
        <v>384</v>
      </c>
      <c r="C44" s="32" t="s">
        <v>494</v>
      </c>
      <c r="D44" s="32" t="s">
        <v>483</v>
      </c>
      <c r="E44" s="32">
        <v>8</v>
      </c>
      <c r="F44" s="32">
        <v>5.2600000000001046</v>
      </c>
      <c r="G44" s="34" t="s">
        <v>273</v>
      </c>
      <c r="H44" s="81">
        <f t="shared" si="2"/>
        <v>5.2600000000001046</v>
      </c>
      <c r="I44" s="39"/>
      <c r="J44" s="35"/>
      <c r="K44" s="63">
        <f t="shared" si="1"/>
        <v>0</v>
      </c>
      <c r="L44" s="32"/>
      <c r="M44" s="33"/>
      <c r="N44" s="40"/>
      <c r="O44" s="41"/>
      <c r="P44" s="32"/>
      <c r="Q44" s="32"/>
      <c r="R44" s="34"/>
      <c r="S44" s="39"/>
      <c r="T44" s="41"/>
      <c r="U44" s="65"/>
      <c r="V44" s="69"/>
      <c r="W44" s="80"/>
      <c r="X44" s="76"/>
      <c r="Y44" s="78"/>
      <c r="Z44" s="74"/>
      <c r="AA44" s="69"/>
      <c r="AB44" s="72"/>
    </row>
    <row r="45" spans="1:28" x14ac:dyDescent="0.25">
      <c r="A45" s="32" t="s">
        <v>631</v>
      </c>
      <c r="B45" s="32" t="s">
        <v>406</v>
      </c>
      <c r="C45" s="32" t="s">
        <v>494</v>
      </c>
      <c r="D45" s="32" t="s">
        <v>483</v>
      </c>
      <c r="E45" s="32">
        <v>8</v>
      </c>
      <c r="F45" s="32">
        <v>7.5</v>
      </c>
      <c r="G45" s="34" t="s">
        <v>740</v>
      </c>
      <c r="H45" s="81">
        <f t="shared" si="2"/>
        <v>7.5</v>
      </c>
      <c r="I45" s="39"/>
      <c r="J45" s="35"/>
      <c r="K45" s="63">
        <f t="shared" si="1"/>
        <v>0</v>
      </c>
      <c r="L45" s="32"/>
      <c r="M45" s="33"/>
      <c r="N45" s="40"/>
      <c r="O45" s="41"/>
      <c r="P45" s="32"/>
      <c r="Q45" s="32"/>
      <c r="R45" s="34"/>
      <c r="S45" s="39"/>
      <c r="T45" s="41"/>
      <c r="U45" s="65"/>
      <c r="V45" s="69"/>
      <c r="W45" s="80"/>
      <c r="X45" s="76"/>
      <c r="Y45" s="78"/>
      <c r="Z45" s="74"/>
      <c r="AA45" s="69"/>
      <c r="AB45" s="72"/>
    </row>
    <row r="46" spans="1:28" x14ac:dyDescent="0.25">
      <c r="A46" s="32" t="s">
        <v>632</v>
      </c>
      <c r="B46" s="32" t="s">
        <v>408</v>
      </c>
      <c r="C46" s="32" t="s">
        <v>494</v>
      </c>
      <c r="D46" s="32" t="s">
        <v>483</v>
      </c>
      <c r="E46" s="32">
        <v>8</v>
      </c>
      <c r="F46" s="32">
        <v>5.2900000000000773</v>
      </c>
      <c r="G46" s="34" t="s">
        <v>273</v>
      </c>
      <c r="H46" s="81">
        <f t="shared" si="2"/>
        <v>5.2900000000000773</v>
      </c>
      <c r="I46" s="39"/>
      <c r="J46" s="35"/>
      <c r="K46" s="63">
        <f t="shared" si="1"/>
        <v>0</v>
      </c>
      <c r="L46" s="32"/>
      <c r="M46" s="33"/>
      <c r="N46" s="40"/>
      <c r="O46" s="41"/>
      <c r="P46" s="32"/>
      <c r="Q46" s="32"/>
      <c r="R46" s="34"/>
      <c r="S46" s="39"/>
      <c r="T46" s="41"/>
      <c r="U46" s="65"/>
      <c r="V46" s="69"/>
      <c r="W46" s="80"/>
      <c r="X46" s="76"/>
      <c r="Y46" s="78"/>
      <c r="Z46" s="74"/>
      <c r="AA46" s="69"/>
      <c r="AB46" s="72"/>
    </row>
    <row r="47" spans="1:28" x14ac:dyDescent="0.25">
      <c r="A47" s="32" t="s">
        <v>633</v>
      </c>
      <c r="B47" s="32" t="s">
        <v>407</v>
      </c>
      <c r="C47" s="32" t="s">
        <v>494</v>
      </c>
      <c r="D47" s="32" t="s">
        <v>483</v>
      </c>
      <c r="E47" s="32">
        <v>8</v>
      </c>
      <c r="F47" s="32">
        <v>6.4399999999999409</v>
      </c>
      <c r="G47" s="34" t="s">
        <v>273</v>
      </c>
      <c r="H47" s="81">
        <f t="shared" si="2"/>
        <v>6.4399999999999409</v>
      </c>
      <c r="I47" s="39"/>
      <c r="J47" s="35"/>
      <c r="K47" s="63">
        <f t="shared" si="1"/>
        <v>0</v>
      </c>
      <c r="L47" s="32"/>
      <c r="M47" s="33"/>
      <c r="N47" s="40"/>
      <c r="O47" s="41"/>
      <c r="P47" s="32"/>
      <c r="Q47" s="32"/>
      <c r="R47" s="34"/>
      <c r="S47" s="39"/>
      <c r="T47" s="41"/>
      <c r="U47" s="65"/>
      <c r="V47" s="69"/>
      <c r="W47" s="80"/>
      <c r="X47" s="76"/>
      <c r="Y47" s="78"/>
      <c r="Z47" s="74"/>
      <c r="AA47" s="69"/>
      <c r="AB47" s="72"/>
    </row>
    <row r="48" spans="1:28" x14ac:dyDescent="0.25">
      <c r="A48" s="32" t="s">
        <v>634</v>
      </c>
      <c r="B48" s="32" t="s">
        <v>410</v>
      </c>
      <c r="C48" s="32" t="s">
        <v>494</v>
      </c>
      <c r="D48" s="32" t="s">
        <v>483</v>
      </c>
      <c r="E48" s="32">
        <v>8</v>
      </c>
      <c r="F48" s="32">
        <v>4.9599999999999227</v>
      </c>
      <c r="G48" s="34" t="s">
        <v>273</v>
      </c>
      <c r="H48" s="81">
        <f t="shared" si="2"/>
        <v>4.9599999999999227</v>
      </c>
      <c r="I48" s="39"/>
      <c r="J48" s="35"/>
      <c r="K48" s="63">
        <f t="shared" si="1"/>
        <v>0</v>
      </c>
      <c r="L48" s="32"/>
      <c r="M48" s="33"/>
      <c r="N48" s="40"/>
      <c r="O48" s="41"/>
      <c r="P48" s="32"/>
      <c r="Q48" s="32"/>
      <c r="R48" s="34"/>
      <c r="S48" s="39"/>
      <c r="T48" s="41"/>
      <c r="U48" s="65"/>
      <c r="V48" s="69"/>
      <c r="W48" s="80"/>
      <c r="X48" s="76"/>
      <c r="Y48" s="78"/>
      <c r="Z48" s="74"/>
      <c r="AA48" s="69"/>
      <c r="AB48" s="72"/>
    </row>
    <row r="49" spans="1:28" x14ac:dyDescent="0.25">
      <c r="A49" s="32" t="s">
        <v>635</v>
      </c>
      <c r="B49" s="32" t="s">
        <v>411</v>
      </c>
      <c r="C49" s="32" t="s">
        <v>494</v>
      </c>
      <c r="D49" s="32" t="s">
        <v>483</v>
      </c>
      <c r="E49" s="32">
        <v>8</v>
      </c>
      <c r="F49" s="32">
        <v>4.0299999999999727</v>
      </c>
      <c r="G49" s="34" t="s">
        <v>273</v>
      </c>
      <c r="H49" s="81">
        <f t="shared" si="2"/>
        <v>4.0299999999999727</v>
      </c>
      <c r="I49" s="39"/>
      <c r="J49" s="35"/>
      <c r="K49" s="63">
        <f t="shared" si="1"/>
        <v>0</v>
      </c>
      <c r="L49" s="32"/>
      <c r="M49" s="33"/>
      <c r="N49" s="40"/>
      <c r="O49" s="41"/>
      <c r="P49" s="32"/>
      <c r="Q49" s="32"/>
      <c r="R49" s="34"/>
      <c r="S49" s="39"/>
      <c r="T49" s="41"/>
      <c r="U49" s="65"/>
      <c r="V49" s="69"/>
      <c r="W49" s="80"/>
      <c r="X49" s="76"/>
      <c r="Y49" s="78"/>
      <c r="Z49" s="74"/>
      <c r="AA49" s="69"/>
      <c r="AB49" s="72"/>
    </row>
    <row r="50" spans="1:28" x14ac:dyDescent="0.25">
      <c r="A50" s="32" t="s">
        <v>636</v>
      </c>
      <c r="B50" s="32" t="s">
        <v>413</v>
      </c>
      <c r="C50" s="32" t="s">
        <v>498</v>
      </c>
      <c r="D50" s="32" t="s">
        <v>483</v>
      </c>
      <c r="E50" s="32">
        <v>8</v>
      </c>
      <c r="F50" s="32">
        <v>4.7000000000000455</v>
      </c>
      <c r="G50" s="34" t="s">
        <v>273</v>
      </c>
      <c r="H50" s="81">
        <f t="shared" si="2"/>
        <v>4.7000000000000455</v>
      </c>
      <c r="I50" s="39"/>
      <c r="J50" s="35"/>
      <c r="K50" s="63">
        <f t="shared" si="1"/>
        <v>0</v>
      </c>
      <c r="L50" s="32"/>
      <c r="M50" s="33"/>
      <c r="N50" s="40"/>
      <c r="O50" s="41"/>
      <c r="P50" s="32"/>
      <c r="Q50" s="32"/>
      <c r="R50" s="34"/>
      <c r="S50" s="39"/>
      <c r="T50" s="41"/>
      <c r="U50" s="65"/>
      <c r="V50" s="69"/>
      <c r="W50" s="80"/>
      <c r="X50" s="76"/>
      <c r="Y50" s="78"/>
      <c r="Z50" s="74"/>
      <c r="AA50" s="69"/>
      <c r="AB50" s="72"/>
    </row>
    <row r="51" spans="1:28" x14ac:dyDescent="0.25">
      <c r="A51" s="32" t="s">
        <v>637</v>
      </c>
      <c r="B51" s="32" t="s">
        <v>415</v>
      </c>
      <c r="C51" s="32" t="s">
        <v>498</v>
      </c>
      <c r="D51" s="32" t="s">
        <v>483</v>
      </c>
      <c r="E51" s="32">
        <v>8</v>
      </c>
      <c r="F51" s="32">
        <v>15.600000000000023</v>
      </c>
      <c r="G51" s="34" t="s">
        <v>273</v>
      </c>
      <c r="H51" s="81">
        <f t="shared" si="2"/>
        <v>15.600000000000023</v>
      </c>
      <c r="I51" s="39"/>
      <c r="J51" s="35"/>
      <c r="K51" s="63">
        <f t="shared" si="1"/>
        <v>0</v>
      </c>
      <c r="L51" s="32"/>
      <c r="M51" s="33"/>
      <c r="N51" s="40"/>
      <c r="O51" s="41"/>
      <c r="P51" s="32"/>
      <c r="Q51" s="32"/>
      <c r="R51" s="34"/>
      <c r="S51" s="39"/>
      <c r="T51" s="41"/>
      <c r="U51" s="65"/>
      <c r="V51" s="69"/>
      <c r="W51" s="80"/>
      <c r="X51" s="76"/>
      <c r="Y51" s="78"/>
      <c r="Z51" s="74"/>
      <c r="AA51" s="69"/>
      <c r="AB51" s="72"/>
    </row>
    <row r="52" spans="1:28" x14ac:dyDescent="0.25">
      <c r="A52" s="32" t="s">
        <v>638</v>
      </c>
      <c r="B52" s="32" t="s">
        <v>417</v>
      </c>
      <c r="C52" s="32" t="s">
        <v>496</v>
      </c>
      <c r="D52" s="32" t="s">
        <v>483</v>
      </c>
      <c r="E52" s="32">
        <v>8</v>
      </c>
      <c r="F52" s="32">
        <v>5.6000000000000227</v>
      </c>
      <c r="G52" s="34" t="s">
        <v>731</v>
      </c>
      <c r="H52" s="81">
        <f t="shared" si="2"/>
        <v>5.6000000000000227</v>
      </c>
      <c r="I52" s="39"/>
      <c r="J52" s="35"/>
      <c r="K52" s="63">
        <f t="shared" si="1"/>
        <v>0</v>
      </c>
      <c r="L52" s="32"/>
      <c r="M52" s="33"/>
      <c r="N52" s="40"/>
      <c r="O52" s="41"/>
      <c r="P52" s="32"/>
      <c r="Q52" s="32"/>
      <c r="R52" s="34"/>
      <c r="S52" s="39"/>
      <c r="T52" s="41"/>
      <c r="U52" s="65"/>
      <c r="V52" s="69"/>
      <c r="W52" s="80"/>
      <c r="X52" s="76"/>
      <c r="Y52" s="78"/>
      <c r="Z52" s="74"/>
      <c r="AA52" s="69"/>
      <c r="AB52" s="72"/>
    </row>
    <row r="53" spans="1:28" x14ac:dyDescent="0.25">
      <c r="A53" s="32" t="s">
        <v>639</v>
      </c>
      <c r="B53" s="32" t="s">
        <v>416</v>
      </c>
      <c r="C53" s="32" t="s">
        <v>496</v>
      </c>
      <c r="D53" s="32" t="s">
        <v>483</v>
      </c>
      <c r="E53" s="32">
        <v>8</v>
      </c>
      <c r="F53" s="32">
        <v>8.2999999999999545</v>
      </c>
      <c r="G53" s="34" t="s">
        <v>273</v>
      </c>
      <c r="H53" s="81">
        <f t="shared" si="2"/>
        <v>8.2999999999999545</v>
      </c>
      <c r="I53" s="39"/>
      <c r="J53" s="35"/>
      <c r="K53" s="63">
        <f t="shared" si="1"/>
        <v>0</v>
      </c>
      <c r="L53" s="32"/>
      <c r="M53" s="33"/>
      <c r="N53" s="40"/>
      <c r="O53" s="41"/>
      <c r="P53" s="32"/>
      <c r="Q53" s="32"/>
      <c r="R53" s="34"/>
      <c r="S53" s="39"/>
      <c r="T53" s="41"/>
      <c r="U53" s="65"/>
      <c r="V53" s="69"/>
      <c r="W53" s="80"/>
      <c r="X53" s="76"/>
      <c r="Y53" s="78"/>
      <c r="Z53" s="74"/>
      <c r="AA53" s="69"/>
      <c r="AB53" s="72"/>
    </row>
    <row r="54" spans="1:28" x14ac:dyDescent="0.25">
      <c r="A54" s="32" t="s">
        <v>640</v>
      </c>
      <c r="B54" s="32" t="s">
        <v>418</v>
      </c>
      <c r="C54" s="32" t="s">
        <v>496</v>
      </c>
      <c r="D54" s="32" t="s">
        <v>483</v>
      </c>
      <c r="E54" s="32">
        <v>8</v>
      </c>
      <c r="F54" s="32">
        <v>4</v>
      </c>
      <c r="G54" s="34" t="s">
        <v>741</v>
      </c>
      <c r="H54" s="81">
        <f t="shared" si="2"/>
        <v>4</v>
      </c>
      <c r="I54" s="39"/>
      <c r="J54" s="35"/>
      <c r="K54" s="63">
        <f t="shared" si="1"/>
        <v>0</v>
      </c>
      <c r="L54" s="32"/>
      <c r="M54" s="33"/>
      <c r="N54" s="40"/>
      <c r="O54" s="41"/>
      <c r="P54" s="32"/>
      <c r="Q54" s="32"/>
      <c r="R54" s="34"/>
      <c r="S54" s="39"/>
      <c r="T54" s="41"/>
      <c r="U54" s="65"/>
      <c r="V54" s="69"/>
      <c r="W54" s="80"/>
      <c r="X54" s="76"/>
      <c r="Y54" s="78"/>
      <c r="Z54" s="74"/>
      <c r="AA54" s="69"/>
      <c r="AB54" s="72"/>
    </row>
    <row r="55" spans="1:28" x14ac:dyDescent="0.25">
      <c r="A55" s="32" t="s">
        <v>641</v>
      </c>
      <c r="B55" s="32" t="s">
        <v>419</v>
      </c>
      <c r="C55" s="32" t="s">
        <v>498</v>
      </c>
      <c r="D55" s="32" t="s">
        <v>483</v>
      </c>
      <c r="E55" s="32">
        <v>8</v>
      </c>
      <c r="F55" s="32">
        <v>8.1000000000000227</v>
      </c>
      <c r="G55" s="34" t="s">
        <v>273</v>
      </c>
      <c r="H55" s="81">
        <f t="shared" si="2"/>
        <v>8.1000000000000227</v>
      </c>
      <c r="I55" s="39"/>
      <c r="J55" s="35"/>
      <c r="K55" s="63">
        <f t="shared" si="1"/>
        <v>0</v>
      </c>
      <c r="L55" s="32"/>
      <c r="M55" s="33"/>
      <c r="N55" s="40"/>
      <c r="O55" s="41"/>
      <c r="P55" s="32"/>
      <c r="Q55" s="32"/>
      <c r="R55" s="34"/>
      <c r="S55" s="39"/>
      <c r="T55" s="41"/>
      <c r="U55" s="65"/>
      <c r="V55" s="69"/>
      <c r="W55" s="80"/>
      <c r="X55" s="76"/>
      <c r="Y55" s="78"/>
      <c r="Z55" s="74"/>
      <c r="AA55" s="69"/>
      <c r="AB55" s="72"/>
    </row>
    <row r="56" spans="1:28" x14ac:dyDescent="0.25">
      <c r="A56" s="32" t="s">
        <v>642</v>
      </c>
      <c r="B56" s="32" t="s">
        <v>643</v>
      </c>
      <c r="C56" s="32" t="s">
        <v>498</v>
      </c>
      <c r="D56" s="32" t="s">
        <v>483</v>
      </c>
      <c r="E56" s="32">
        <v>8</v>
      </c>
      <c r="F56" s="32">
        <v>11.190000000000055</v>
      </c>
      <c r="G56" s="34" t="s">
        <v>273</v>
      </c>
      <c r="H56" s="81">
        <f t="shared" si="2"/>
        <v>11.190000000000055</v>
      </c>
      <c r="I56" s="39"/>
      <c r="J56" s="35"/>
      <c r="K56" s="63">
        <f t="shared" si="1"/>
        <v>0</v>
      </c>
      <c r="L56" s="32"/>
      <c r="M56" s="33"/>
      <c r="N56" s="40"/>
      <c r="O56" s="41"/>
      <c r="P56" s="32"/>
      <c r="Q56" s="32"/>
      <c r="R56" s="34"/>
      <c r="S56" s="39"/>
      <c r="T56" s="41"/>
      <c r="U56" s="65"/>
      <c r="V56" s="69"/>
      <c r="W56" s="80"/>
      <c r="X56" s="76"/>
      <c r="Y56" s="78"/>
      <c r="Z56" s="74"/>
      <c r="AA56" s="69"/>
      <c r="AB56" s="72"/>
    </row>
    <row r="57" spans="1:28" x14ac:dyDescent="0.25">
      <c r="A57" s="32" t="s">
        <v>644</v>
      </c>
      <c r="B57" s="32" t="s">
        <v>645</v>
      </c>
      <c r="C57" s="32" t="s">
        <v>498</v>
      </c>
      <c r="D57" s="32" t="s">
        <v>483</v>
      </c>
      <c r="E57" s="32">
        <v>8</v>
      </c>
      <c r="F57" s="32">
        <v>10.25</v>
      </c>
      <c r="G57" s="34" t="s">
        <v>273</v>
      </c>
      <c r="H57" s="81">
        <f t="shared" si="2"/>
        <v>10.25</v>
      </c>
      <c r="I57" s="39"/>
      <c r="J57" s="35"/>
      <c r="K57" s="63">
        <f t="shared" si="1"/>
        <v>0</v>
      </c>
      <c r="L57" s="32"/>
      <c r="M57" s="33"/>
      <c r="N57" s="40"/>
      <c r="O57" s="41"/>
      <c r="P57" s="32"/>
      <c r="Q57" s="32"/>
      <c r="R57" s="34"/>
      <c r="S57" s="39"/>
      <c r="T57" s="41"/>
      <c r="U57" s="65"/>
      <c r="V57" s="69"/>
      <c r="W57" s="80"/>
      <c r="X57" s="76"/>
      <c r="Y57" s="78"/>
      <c r="Z57" s="74"/>
      <c r="AA57" s="69"/>
      <c r="AB57" s="72"/>
    </row>
    <row r="58" spans="1:28" x14ac:dyDescent="0.25">
      <c r="A58" s="32" t="s">
        <v>646</v>
      </c>
      <c r="B58" s="32" t="s">
        <v>647</v>
      </c>
      <c r="C58" s="32" t="s">
        <v>498</v>
      </c>
      <c r="D58" s="32" t="s">
        <v>483</v>
      </c>
      <c r="E58" s="32">
        <v>8</v>
      </c>
      <c r="F58" s="32">
        <v>7.5</v>
      </c>
      <c r="G58" s="34" t="s">
        <v>273</v>
      </c>
      <c r="H58" s="81">
        <f t="shared" si="2"/>
        <v>7.5</v>
      </c>
      <c r="I58" s="39"/>
      <c r="J58" s="35"/>
      <c r="K58" s="63">
        <f t="shared" si="1"/>
        <v>0</v>
      </c>
      <c r="L58" s="32"/>
      <c r="M58" s="33"/>
      <c r="N58" s="40"/>
      <c r="O58" s="41"/>
      <c r="P58" s="32"/>
      <c r="Q58" s="32"/>
      <c r="R58" s="34"/>
      <c r="S58" s="39"/>
      <c r="T58" s="41"/>
      <c r="U58" s="65"/>
      <c r="V58" s="69"/>
      <c r="W58" s="80"/>
      <c r="X58" s="76"/>
      <c r="Y58" s="78"/>
      <c r="Z58" s="74"/>
      <c r="AA58" s="69"/>
      <c r="AB58" s="72"/>
    </row>
    <row r="59" spans="1:28" x14ac:dyDescent="0.25">
      <c r="A59" s="32" t="s">
        <v>648</v>
      </c>
      <c r="B59" s="32" t="s">
        <v>422</v>
      </c>
      <c r="C59" s="32" t="s">
        <v>498</v>
      </c>
      <c r="D59" s="32" t="s">
        <v>483</v>
      </c>
      <c r="E59" s="32">
        <v>8</v>
      </c>
      <c r="F59" s="32">
        <v>4.6000000000000227</v>
      </c>
      <c r="G59" s="34" t="s">
        <v>273</v>
      </c>
      <c r="H59" s="81">
        <f t="shared" si="2"/>
        <v>4.6000000000000227</v>
      </c>
      <c r="I59" s="39"/>
      <c r="J59" s="35"/>
      <c r="K59" s="63">
        <f t="shared" si="1"/>
        <v>0</v>
      </c>
      <c r="L59" s="32"/>
      <c r="M59" s="33"/>
      <c r="N59" s="40"/>
      <c r="O59" s="41"/>
      <c r="P59" s="32"/>
      <c r="Q59" s="32"/>
      <c r="R59" s="34"/>
      <c r="S59" s="39"/>
      <c r="T59" s="41"/>
      <c r="U59" s="65"/>
      <c r="V59" s="69"/>
      <c r="W59" s="80"/>
      <c r="X59" s="76"/>
      <c r="Y59" s="78"/>
      <c r="Z59" s="74"/>
      <c r="AA59" s="69"/>
      <c r="AB59" s="72"/>
    </row>
    <row r="60" spans="1:28" x14ac:dyDescent="0.25">
      <c r="A60" s="32" t="s">
        <v>649</v>
      </c>
      <c r="B60" s="32" t="s">
        <v>421</v>
      </c>
      <c r="C60" s="32" t="s">
        <v>501</v>
      </c>
      <c r="D60" s="32" t="s">
        <v>483</v>
      </c>
      <c r="E60" s="32">
        <v>8</v>
      </c>
      <c r="F60" s="32">
        <v>12.600000000000023</v>
      </c>
      <c r="G60" s="34" t="s">
        <v>273</v>
      </c>
      <c r="H60" s="81">
        <f t="shared" si="2"/>
        <v>12.600000000000023</v>
      </c>
      <c r="I60" s="39"/>
      <c r="J60" s="35"/>
      <c r="K60" s="63">
        <f t="shared" si="1"/>
        <v>0</v>
      </c>
      <c r="L60" s="32"/>
      <c r="M60" s="33"/>
      <c r="N60" s="40"/>
      <c r="O60" s="41"/>
      <c r="P60" s="32"/>
      <c r="Q60" s="32"/>
      <c r="R60" s="34"/>
      <c r="S60" s="39"/>
      <c r="T60" s="41"/>
      <c r="U60" s="65"/>
      <c r="V60" s="69"/>
      <c r="W60" s="80"/>
      <c r="X60" s="76"/>
      <c r="Y60" s="78"/>
      <c r="Z60" s="74"/>
      <c r="AA60" s="69"/>
      <c r="AB60" s="72"/>
    </row>
    <row r="61" spans="1:28" x14ac:dyDescent="0.25">
      <c r="A61" s="32" t="s">
        <v>650</v>
      </c>
      <c r="B61" s="32" t="s">
        <v>423</v>
      </c>
      <c r="C61" s="32" t="s">
        <v>501</v>
      </c>
      <c r="D61" s="32" t="s">
        <v>483</v>
      </c>
      <c r="E61" s="32">
        <v>8</v>
      </c>
      <c r="F61" s="32">
        <v>5.1000000000000227</v>
      </c>
      <c r="G61" s="34" t="s">
        <v>273</v>
      </c>
      <c r="H61" s="81">
        <f t="shared" si="2"/>
        <v>5.1000000000000227</v>
      </c>
      <c r="I61" s="39"/>
      <c r="J61" s="35"/>
      <c r="K61" s="63">
        <f t="shared" si="1"/>
        <v>0</v>
      </c>
      <c r="L61" s="32"/>
      <c r="M61" s="33"/>
      <c r="N61" s="40"/>
      <c r="O61" s="41"/>
      <c r="P61" s="32"/>
      <c r="Q61" s="32"/>
      <c r="R61" s="34"/>
      <c r="S61" s="39"/>
      <c r="T61" s="41"/>
      <c r="U61" s="65"/>
      <c r="V61" s="69"/>
      <c r="W61" s="80"/>
      <c r="X61" s="76"/>
      <c r="Y61" s="78"/>
      <c r="Z61" s="74"/>
      <c r="AA61" s="69"/>
      <c r="AB61" s="72"/>
    </row>
    <row r="62" spans="1:28" x14ac:dyDescent="0.25">
      <c r="A62" s="32" t="s">
        <v>651</v>
      </c>
      <c r="B62" s="32" t="s">
        <v>424</v>
      </c>
      <c r="C62" s="32" t="s">
        <v>501</v>
      </c>
      <c r="D62" s="32" t="s">
        <v>483</v>
      </c>
      <c r="E62" s="32">
        <v>8</v>
      </c>
      <c r="F62" s="32">
        <v>6.5</v>
      </c>
      <c r="G62" s="34" t="s">
        <v>742</v>
      </c>
      <c r="H62" s="81">
        <f t="shared" si="2"/>
        <v>6.5</v>
      </c>
      <c r="I62" s="39"/>
      <c r="J62" s="35"/>
      <c r="K62" s="63">
        <f t="shared" si="1"/>
        <v>0</v>
      </c>
      <c r="L62" s="32"/>
      <c r="M62" s="33"/>
      <c r="N62" s="40"/>
      <c r="O62" s="41"/>
      <c r="P62" s="32"/>
      <c r="Q62" s="32"/>
      <c r="R62" s="34"/>
      <c r="S62" s="39"/>
      <c r="T62" s="41"/>
      <c r="U62" s="65"/>
      <c r="V62" s="69"/>
      <c r="W62" s="80"/>
      <c r="X62" s="76"/>
      <c r="Y62" s="78"/>
      <c r="Z62" s="74"/>
      <c r="AA62" s="69"/>
      <c r="AB62" s="72"/>
    </row>
    <row r="63" spans="1:28" x14ac:dyDescent="0.25">
      <c r="A63" s="32" t="s">
        <v>652</v>
      </c>
      <c r="B63" s="32" t="s">
        <v>425</v>
      </c>
      <c r="C63" s="32" t="s">
        <v>501</v>
      </c>
      <c r="D63" s="32" t="s">
        <v>483</v>
      </c>
      <c r="E63" s="32">
        <v>8</v>
      </c>
      <c r="F63" s="32">
        <v>7.1100000000000136</v>
      </c>
      <c r="G63" s="34" t="s">
        <v>273</v>
      </c>
      <c r="H63" s="81">
        <f t="shared" si="2"/>
        <v>7.1100000000000136</v>
      </c>
      <c r="I63" s="39"/>
      <c r="J63" s="35"/>
      <c r="K63" s="63">
        <f t="shared" si="1"/>
        <v>0</v>
      </c>
      <c r="L63" s="32"/>
      <c r="M63" s="33"/>
      <c r="N63" s="40"/>
      <c r="O63" s="41"/>
      <c r="P63" s="32"/>
      <c r="Q63" s="32"/>
      <c r="R63" s="34"/>
      <c r="S63" s="39"/>
      <c r="T63" s="41"/>
      <c r="U63" s="65"/>
      <c r="V63" s="69"/>
      <c r="W63" s="80"/>
      <c r="X63" s="76"/>
      <c r="Y63" s="78"/>
      <c r="Z63" s="74"/>
      <c r="AA63" s="69"/>
      <c r="AB63" s="72"/>
    </row>
    <row r="64" spans="1:28" x14ac:dyDescent="0.25">
      <c r="A64" s="32" t="s">
        <v>653</v>
      </c>
      <c r="B64" s="32" t="s">
        <v>605</v>
      </c>
      <c r="C64" s="32" t="s">
        <v>501</v>
      </c>
      <c r="D64" s="32" t="s">
        <v>483</v>
      </c>
      <c r="E64" s="32">
        <v>8</v>
      </c>
      <c r="F64" s="32">
        <v>10.509999999999991</v>
      </c>
      <c r="G64" s="34" t="s">
        <v>731</v>
      </c>
      <c r="H64" s="81">
        <f t="shared" si="2"/>
        <v>10.509999999999991</v>
      </c>
      <c r="I64" s="39"/>
      <c r="J64" s="35"/>
      <c r="K64" s="63">
        <f t="shared" si="1"/>
        <v>0</v>
      </c>
      <c r="L64" s="32"/>
      <c r="M64" s="33"/>
      <c r="N64" s="40"/>
      <c r="O64" s="41"/>
      <c r="P64" s="32"/>
      <c r="Q64" s="32"/>
      <c r="R64" s="34"/>
      <c r="S64" s="39"/>
      <c r="T64" s="41"/>
      <c r="U64" s="65"/>
      <c r="V64" s="69"/>
      <c r="W64" s="80"/>
      <c r="X64" s="76"/>
      <c r="Y64" s="78"/>
      <c r="Z64" s="74"/>
      <c r="AA64" s="69"/>
      <c r="AB64" s="72"/>
    </row>
    <row r="65" spans="1:28" ht="30" x14ac:dyDescent="0.25">
      <c r="A65" s="32" t="s">
        <v>654</v>
      </c>
      <c r="B65" s="32" t="s">
        <v>427</v>
      </c>
      <c r="C65" s="32" t="s">
        <v>498</v>
      </c>
      <c r="D65" s="32" t="s">
        <v>483</v>
      </c>
      <c r="E65" s="32">
        <v>8</v>
      </c>
      <c r="F65" s="32">
        <v>9.1000000000000227</v>
      </c>
      <c r="G65" s="34" t="s">
        <v>273</v>
      </c>
      <c r="H65" s="81">
        <f t="shared" si="2"/>
        <v>9.1000000000000227</v>
      </c>
      <c r="I65" s="39"/>
      <c r="J65" s="35"/>
      <c r="K65" s="63">
        <f t="shared" si="1"/>
        <v>0</v>
      </c>
      <c r="L65" s="32"/>
      <c r="M65" s="33"/>
      <c r="N65" s="40"/>
      <c r="O65" s="41"/>
      <c r="P65" s="32"/>
      <c r="Q65" s="32"/>
      <c r="R65" s="34"/>
      <c r="S65" s="39" t="s">
        <v>757</v>
      </c>
      <c r="T65" s="41"/>
      <c r="U65" s="65"/>
      <c r="V65" s="69"/>
      <c r="W65" s="80"/>
      <c r="X65" s="76"/>
      <c r="Y65" s="78"/>
      <c r="Z65" s="74"/>
      <c r="AA65" s="69"/>
      <c r="AB65" s="72"/>
    </row>
    <row r="66" spans="1:28" x14ac:dyDescent="0.25">
      <c r="A66" s="32" t="s">
        <v>655</v>
      </c>
      <c r="B66" s="32" t="s">
        <v>426</v>
      </c>
      <c r="C66" s="32" t="s">
        <v>501</v>
      </c>
      <c r="D66" s="32" t="s">
        <v>483</v>
      </c>
      <c r="E66" s="32">
        <v>8</v>
      </c>
      <c r="F66" s="32">
        <v>13.100000000000023</v>
      </c>
      <c r="G66" s="34" t="s">
        <v>273</v>
      </c>
      <c r="H66" s="81">
        <f t="shared" si="2"/>
        <v>13.100000000000023</v>
      </c>
      <c r="I66" s="39"/>
      <c r="J66" s="35"/>
      <c r="K66" s="63">
        <f t="shared" si="1"/>
        <v>0</v>
      </c>
      <c r="L66" s="32"/>
      <c r="M66" s="33"/>
      <c r="N66" s="40"/>
      <c r="O66" s="41"/>
      <c r="P66" s="32"/>
      <c r="Q66" s="32"/>
      <c r="R66" s="34"/>
      <c r="S66" s="39" t="s">
        <v>754</v>
      </c>
      <c r="T66" s="41"/>
      <c r="U66" s="65"/>
      <c r="V66" s="69"/>
      <c r="W66" s="80"/>
      <c r="X66" s="76"/>
      <c r="Y66" s="78"/>
      <c r="Z66" s="74"/>
      <c r="AA66" s="69"/>
      <c r="AB66" s="72"/>
    </row>
    <row r="67" spans="1:28" x14ac:dyDescent="0.25">
      <c r="A67" s="32" t="s">
        <v>656</v>
      </c>
      <c r="B67" s="32" t="s">
        <v>428</v>
      </c>
      <c r="C67" s="32" t="s">
        <v>501</v>
      </c>
      <c r="D67" s="32" t="s">
        <v>483</v>
      </c>
      <c r="E67" s="32">
        <v>8</v>
      </c>
      <c r="F67" s="32">
        <v>4.1000000000000227</v>
      </c>
      <c r="G67" s="34" t="s">
        <v>743</v>
      </c>
      <c r="H67" s="81">
        <f t="shared" si="2"/>
        <v>4.1000000000000227</v>
      </c>
      <c r="I67" s="39"/>
      <c r="J67" s="35"/>
      <c r="K67" s="63">
        <f t="shared" si="1"/>
        <v>0</v>
      </c>
      <c r="L67" s="32"/>
      <c r="M67" s="33"/>
      <c r="N67" s="40"/>
      <c r="O67" s="41"/>
      <c r="P67" s="32"/>
      <c r="Q67" s="32"/>
      <c r="R67" s="34"/>
      <c r="S67" s="39"/>
      <c r="T67" s="41"/>
      <c r="U67" s="65"/>
      <c r="V67" s="69"/>
      <c r="W67" s="80"/>
      <c r="X67" s="76"/>
      <c r="Y67" s="78"/>
      <c r="Z67" s="74"/>
      <c r="AA67" s="69"/>
      <c r="AB67" s="72"/>
    </row>
    <row r="68" spans="1:28" x14ac:dyDescent="0.25">
      <c r="A68" s="32" t="s">
        <v>657</v>
      </c>
      <c r="B68" s="32" t="s">
        <v>429</v>
      </c>
      <c r="C68" s="32" t="s">
        <v>501</v>
      </c>
      <c r="D68" s="32" t="s">
        <v>483</v>
      </c>
      <c r="E68" s="32">
        <v>8</v>
      </c>
      <c r="F68" s="32">
        <v>5.6000000000000227</v>
      </c>
      <c r="G68" s="34" t="s">
        <v>743</v>
      </c>
      <c r="H68" s="81">
        <f t="shared" si="2"/>
        <v>5.6000000000000227</v>
      </c>
      <c r="I68" s="39"/>
      <c r="J68" s="35"/>
      <c r="K68" s="63">
        <f t="shared" si="1"/>
        <v>0</v>
      </c>
      <c r="L68" s="32"/>
      <c r="M68" s="33"/>
      <c r="N68" s="40"/>
      <c r="O68" s="41"/>
      <c r="P68" s="32"/>
      <c r="Q68" s="32"/>
      <c r="R68" s="34"/>
      <c r="S68" s="39"/>
      <c r="T68" s="41"/>
      <c r="U68" s="65"/>
      <c r="V68" s="69"/>
      <c r="W68" s="80"/>
      <c r="X68" s="76"/>
      <c r="Y68" s="78"/>
      <c r="Z68" s="74"/>
      <c r="AA68" s="69"/>
      <c r="AB68" s="72"/>
    </row>
    <row r="69" spans="1:28" x14ac:dyDescent="0.25">
      <c r="A69" s="32" t="s">
        <v>658</v>
      </c>
      <c r="B69" s="32" t="s">
        <v>659</v>
      </c>
      <c r="C69" s="32" t="s">
        <v>498</v>
      </c>
      <c r="D69" s="32" t="s">
        <v>483</v>
      </c>
      <c r="E69" s="32">
        <v>8</v>
      </c>
      <c r="F69" s="32">
        <v>9.5</v>
      </c>
      <c r="G69" s="34" t="s">
        <v>273</v>
      </c>
      <c r="H69" s="81">
        <f t="shared" si="2"/>
        <v>9.5</v>
      </c>
      <c r="I69" s="39"/>
      <c r="J69" s="35"/>
      <c r="K69" s="63">
        <f t="shared" ref="K69:K113" si="3">IF(J69&gt;6, J69-6,0)</f>
        <v>0</v>
      </c>
      <c r="L69" s="32"/>
      <c r="M69" s="33"/>
      <c r="N69" s="40"/>
      <c r="O69" s="41"/>
      <c r="P69" s="32"/>
      <c r="Q69" s="32"/>
      <c r="R69" s="34"/>
      <c r="S69" s="39"/>
      <c r="T69" s="41"/>
      <c r="U69" s="65"/>
      <c r="V69" s="69"/>
      <c r="W69" s="80"/>
      <c r="X69" s="76"/>
      <c r="Y69" s="78"/>
      <c r="Z69" s="74"/>
      <c r="AA69" s="69"/>
      <c r="AB69" s="72"/>
    </row>
    <row r="70" spans="1:28" x14ac:dyDescent="0.25">
      <c r="A70" s="32" t="s">
        <v>660</v>
      </c>
      <c r="B70" s="32" t="s">
        <v>661</v>
      </c>
      <c r="C70" s="32" t="s">
        <v>498</v>
      </c>
      <c r="D70" s="32" t="s">
        <v>483</v>
      </c>
      <c r="E70" s="32">
        <v>8</v>
      </c>
      <c r="F70" s="32">
        <v>9.6000000000000227</v>
      </c>
      <c r="G70" s="34" t="s">
        <v>273</v>
      </c>
      <c r="H70" s="81">
        <f t="shared" si="2"/>
        <v>9.6000000000000227</v>
      </c>
      <c r="I70" s="39"/>
      <c r="J70" s="35"/>
      <c r="K70" s="63">
        <f t="shared" si="3"/>
        <v>0</v>
      </c>
      <c r="L70" s="32"/>
      <c r="M70" s="33"/>
      <c r="N70" s="40"/>
      <c r="O70" s="41"/>
      <c r="P70" s="32"/>
      <c r="Q70" s="32"/>
      <c r="R70" s="34"/>
      <c r="S70" s="39"/>
      <c r="T70" s="41"/>
      <c r="U70" s="65"/>
      <c r="V70" s="69"/>
      <c r="W70" s="80"/>
      <c r="X70" s="76"/>
      <c r="Y70" s="78"/>
      <c r="Z70" s="74"/>
      <c r="AA70" s="69"/>
      <c r="AB70" s="72"/>
    </row>
    <row r="71" spans="1:28" x14ac:dyDescent="0.25">
      <c r="A71" s="32" t="s">
        <v>662</v>
      </c>
      <c r="B71" s="32" t="s">
        <v>663</v>
      </c>
      <c r="C71" s="32" t="s">
        <v>498</v>
      </c>
      <c r="D71" s="32" t="s">
        <v>483</v>
      </c>
      <c r="E71" s="32">
        <v>8</v>
      </c>
      <c r="F71" s="32">
        <v>7.6000000000000227</v>
      </c>
      <c r="G71" s="34" t="s">
        <v>273</v>
      </c>
      <c r="H71" s="81">
        <f t="shared" si="2"/>
        <v>7.6000000000000227</v>
      </c>
      <c r="I71" s="39"/>
      <c r="J71" s="35"/>
      <c r="K71" s="63">
        <f t="shared" si="3"/>
        <v>0</v>
      </c>
      <c r="L71" s="32"/>
      <c r="M71" s="33"/>
      <c r="N71" s="40"/>
      <c r="O71" s="41"/>
      <c r="P71" s="32"/>
      <c r="Q71" s="32"/>
      <c r="R71" s="34"/>
      <c r="S71" s="39"/>
      <c r="T71" s="41"/>
      <c r="U71" s="65"/>
      <c r="V71" s="69"/>
      <c r="W71" s="80"/>
      <c r="X71" s="76"/>
      <c r="Y71" s="78"/>
      <c r="Z71" s="74"/>
      <c r="AA71" s="69"/>
      <c r="AB71" s="72"/>
    </row>
    <row r="72" spans="1:28" x14ac:dyDescent="0.25">
      <c r="A72" s="32" t="s">
        <v>664</v>
      </c>
      <c r="B72" s="32" t="s">
        <v>414</v>
      </c>
      <c r="C72" s="32" t="s">
        <v>498</v>
      </c>
      <c r="D72" s="32" t="s">
        <v>483</v>
      </c>
      <c r="E72" s="32">
        <v>8</v>
      </c>
      <c r="F72" s="32">
        <v>7.6000000000000227</v>
      </c>
      <c r="G72" s="34" t="s">
        <v>742</v>
      </c>
      <c r="H72" s="81">
        <f t="shared" si="2"/>
        <v>7.6000000000000227</v>
      </c>
      <c r="I72" s="39"/>
      <c r="J72" s="35"/>
      <c r="K72" s="63">
        <f t="shared" si="3"/>
        <v>0</v>
      </c>
      <c r="L72" s="32"/>
      <c r="M72" s="33"/>
      <c r="N72" s="40"/>
      <c r="O72" s="41"/>
      <c r="P72" s="32"/>
      <c r="Q72" s="32"/>
      <c r="R72" s="34"/>
      <c r="S72" s="39"/>
      <c r="T72" s="41"/>
      <c r="U72" s="65"/>
      <c r="V72" s="69"/>
      <c r="W72" s="80"/>
      <c r="X72" s="76"/>
      <c r="Y72" s="78"/>
      <c r="Z72" s="74"/>
      <c r="AA72" s="69"/>
      <c r="AB72" s="72"/>
    </row>
    <row r="73" spans="1:28" x14ac:dyDescent="0.25">
      <c r="A73" s="32" t="s">
        <v>665</v>
      </c>
      <c r="B73" s="32" t="s">
        <v>666</v>
      </c>
      <c r="C73" s="32" t="s">
        <v>500</v>
      </c>
      <c r="D73" s="32" t="s">
        <v>483</v>
      </c>
      <c r="E73" s="32">
        <v>8</v>
      </c>
      <c r="F73" s="32">
        <v>7.6000000000000227</v>
      </c>
      <c r="G73" s="34" t="s">
        <v>744</v>
      </c>
      <c r="H73" s="81">
        <f t="shared" si="2"/>
        <v>7.6000000000000227</v>
      </c>
      <c r="I73" s="39"/>
      <c r="J73" s="35"/>
      <c r="K73" s="63">
        <f t="shared" si="3"/>
        <v>0</v>
      </c>
      <c r="L73" s="32"/>
      <c r="M73" s="33"/>
      <c r="N73" s="40"/>
      <c r="O73" s="41"/>
      <c r="P73" s="32"/>
      <c r="Q73" s="32"/>
      <c r="R73" s="34"/>
      <c r="S73" s="39"/>
      <c r="T73" s="41"/>
      <c r="U73" s="65"/>
      <c r="V73" s="69"/>
      <c r="W73" s="80"/>
      <c r="X73" s="76"/>
      <c r="Y73" s="78"/>
      <c r="Z73" s="74"/>
      <c r="AA73" s="69"/>
      <c r="AB73" s="72"/>
    </row>
    <row r="74" spans="1:28" x14ac:dyDescent="0.25">
      <c r="A74" s="32" t="s">
        <v>667</v>
      </c>
      <c r="B74" s="32" t="s">
        <v>433</v>
      </c>
      <c r="C74" s="32" t="s">
        <v>500</v>
      </c>
      <c r="D74" s="32" t="s">
        <v>483</v>
      </c>
      <c r="E74" s="32">
        <v>8</v>
      </c>
      <c r="F74" s="32">
        <v>9.5</v>
      </c>
      <c r="G74" s="34" t="s">
        <v>742</v>
      </c>
      <c r="H74" s="81">
        <f t="shared" si="2"/>
        <v>9.5</v>
      </c>
      <c r="I74" s="39"/>
      <c r="J74" s="35"/>
      <c r="K74" s="63">
        <f t="shared" si="3"/>
        <v>0</v>
      </c>
      <c r="L74" s="32"/>
      <c r="M74" s="33"/>
      <c r="N74" s="40"/>
      <c r="O74" s="41"/>
      <c r="P74" s="32"/>
      <c r="Q74" s="32"/>
      <c r="R74" s="34"/>
      <c r="S74" s="39"/>
      <c r="T74" s="41"/>
      <c r="U74" s="65"/>
      <c r="V74" s="69"/>
      <c r="W74" s="80"/>
      <c r="X74" s="76"/>
      <c r="Y74" s="78"/>
      <c r="Z74" s="74"/>
      <c r="AA74" s="69"/>
      <c r="AB74" s="72"/>
    </row>
    <row r="75" spans="1:28" x14ac:dyDescent="0.25">
      <c r="A75" s="32" t="s">
        <v>668</v>
      </c>
      <c r="B75" s="32" t="s">
        <v>432</v>
      </c>
      <c r="C75" s="32" t="s">
        <v>500</v>
      </c>
      <c r="D75" s="32" t="s">
        <v>483</v>
      </c>
      <c r="E75" s="32">
        <v>8</v>
      </c>
      <c r="F75" s="32">
        <v>8.1000000000000227</v>
      </c>
      <c r="G75" s="34" t="s">
        <v>273</v>
      </c>
      <c r="H75" s="81">
        <f t="shared" si="2"/>
        <v>8.1000000000000227</v>
      </c>
      <c r="I75" s="39"/>
      <c r="J75" s="35"/>
      <c r="K75" s="63">
        <f t="shared" si="3"/>
        <v>0</v>
      </c>
      <c r="L75" s="32"/>
      <c r="M75" s="33"/>
      <c r="N75" s="40"/>
      <c r="O75" s="41"/>
      <c r="P75" s="32"/>
      <c r="Q75" s="32"/>
      <c r="R75" s="34"/>
      <c r="S75" s="39"/>
      <c r="T75" s="41"/>
      <c r="U75" s="65"/>
      <c r="V75" s="69"/>
      <c r="W75" s="80"/>
      <c r="X75" s="76"/>
      <c r="Y75" s="78"/>
      <c r="Z75" s="74"/>
      <c r="AA75" s="69"/>
      <c r="AB75" s="72"/>
    </row>
    <row r="76" spans="1:28" x14ac:dyDescent="0.25">
      <c r="A76" s="32" t="s">
        <v>669</v>
      </c>
      <c r="B76" s="32" t="s">
        <v>670</v>
      </c>
      <c r="C76" s="32" t="s">
        <v>502</v>
      </c>
      <c r="D76" s="32" t="s">
        <v>483</v>
      </c>
      <c r="E76" s="32">
        <v>8</v>
      </c>
      <c r="F76" s="32">
        <v>9</v>
      </c>
      <c r="G76" s="34" t="s">
        <v>734</v>
      </c>
      <c r="H76" s="81">
        <f t="shared" si="2"/>
        <v>9</v>
      </c>
      <c r="I76" s="39"/>
      <c r="J76" s="35"/>
      <c r="K76" s="63">
        <f t="shared" si="3"/>
        <v>0</v>
      </c>
      <c r="L76" s="32"/>
      <c r="M76" s="33"/>
      <c r="N76" s="40"/>
      <c r="O76" s="41"/>
      <c r="P76" s="32"/>
      <c r="Q76" s="32"/>
      <c r="R76" s="34"/>
      <c r="S76" s="39"/>
      <c r="T76" s="41"/>
      <c r="U76" s="65"/>
      <c r="V76" s="69"/>
      <c r="W76" s="80"/>
      <c r="X76" s="76"/>
      <c r="Y76" s="78"/>
      <c r="Z76" s="74"/>
      <c r="AA76" s="69"/>
      <c r="AB76" s="72"/>
    </row>
    <row r="77" spans="1:28" ht="45" x14ac:dyDescent="0.25">
      <c r="A77" s="32" t="s">
        <v>671</v>
      </c>
      <c r="B77" s="32" t="s">
        <v>434</v>
      </c>
      <c r="C77" s="32" t="s">
        <v>502</v>
      </c>
      <c r="D77" s="32" t="s">
        <v>483</v>
      </c>
      <c r="E77" s="32">
        <v>8</v>
      </c>
      <c r="F77" s="32">
        <v>8.6000000000000227</v>
      </c>
      <c r="G77" s="34" t="s">
        <v>732</v>
      </c>
      <c r="H77" s="81">
        <f t="shared" si="2"/>
        <v>8.6000000000000227</v>
      </c>
      <c r="I77" s="39"/>
      <c r="J77" s="35"/>
      <c r="K77" s="63">
        <f t="shared" si="3"/>
        <v>0</v>
      </c>
      <c r="L77" s="32"/>
      <c r="M77" s="33"/>
      <c r="N77" s="40"/>
      <c r="O77" s="41"/>
      <c r="P77" s="32"/>
      <c r="Q77" s="32"/>
      <c r="R77" s="34"/>
      <c r="S77" s="39" t="s">
        <v>758</v>
      </c>
      <c r="T77" s="41"/>
      <c r="U77" s="65"/>
      <c r="V77" s="69"/>
      <c r="W77" s="80"/>
      <c r="X77" s="76"/>
      <c r="Y77" s="78"/>
      <c r="Z77" s="74"/>
      <c r="AA77" s="69"/>
      <c r="AB77" s="72"/>
    </row>
    <row r="78" spans="1:28" x14ac:dyDescent="0.25">
      <c r="A78" s="32" t="s">
        <v>672</v>
      </c>
      <c r="B78" s="32" t="s">
        <v>438</v>
      </c>
      <c r="C78" s="32" t="s">
        <v>502</v>
      </c>
      <c r="D78" s="32" t="s">
        <v>483</v>
      </c>
      <c r="E78" s="32">
        <v>8</v>
      </c>
      <c r="F78" s="32">
        <v>4.1000000000000227</v>
      </c>
      <c r="G78" s="34" t="s">
        <v>744</v>
      </c>
      <c r="H78" s="81">
        <f t="shared" si="2"/>
        <v>4.1000000000000227</v>
      </c>
      <c r="I78" s="39"/>
      <c r="J78" s="35"/>
      <c r="K78" s="63">
        <f t="shared" si="3"/>
        <v>0</v>
      </c>
      <c r="L78" s="32"/>
      <c r="M78" s="33"/>
      <c r="N78" s="40"/>
      <c r="O78" s="41"/>
      <c r="P78" s="32"/>
      <c r="Q78" s="32"/>
      <c r="R78" s="34"/>
      <c r="S78" s="39"/>
      <c r="T78" s="41"/>
      <c r="U78" s="65"/>
      <c r="V78" s="69"/>
      <c r="W78" s="80"/>
      <c r="X78" s="76"/>
      <c r="Y78" s="78"/>
      <c r="Z78" s="74"/>
      <c r="AA78" s="69"/>
      <c r="AB78" s="72"/>
    </row>
    <row r="79" spans="1:28" x14ac:dyDescent="0.25">
      <c r="A79" s="32" t="s">
        <v>673</v>
      </c>
      <c r="B79" s="32" t="s">
        <v>674</v>
      </c>
      <c r="C79" s="32" t="s">
        <v>502</v>
      </c>
      <c r="D79" s="32" t="s">
        <v>483</v>
      </c>
      <c r="E79" s="32">
        <v>8</v>
      </c>
      <c r="F79" s="32">
        <v>5.1000000000000227</v>
      </c>
      <c r="G79" s="34" t="s">
        <v>273</v>
      </c>
      <c r="H79" s="81">
        <f t="shared" si="2"/>
        <v>5.1000000000000227</v>
      </c>
      <c r="I79" s="39"/>
      <c r="J79" s="35"/>
      <c r="K79" s="63">
        <f t="shared" si="3"/>
        <v>0</v>
      </c>
      <c r="L79" s="32"/>
      <c r="M79" s="33"/>
      <c r="N79" s="40"/>
      <c r="O79" s="41"/>
      <c r="P79" s="32"/>
      <c r="Q79" s="32"/>
      <c r="R79" s="34"/>
      <c r="S79" s="39" t="s">
        <v>754</v>
      </c>
      <c r="T79" s="41"/>
      <c r="U79" s="65"/>
      <c r="V79" s="69"/>
      <c r="W79" s="80"/>
      <c r="X79" s="76"/>
      <c r="Y79" s="78"/>
      <c r="Z79" s="74"/>
      <c r="AA79" s="69"/>
      <c r="AB79" s="72"/>
    </row>
    <row r="80" spans="1:28" x14ac:dyDescent="0.25">
      <c r="A80" s="32" t="s">
        <v>675</v>
      </c>
      <c r="B80" s="32" t="s">
        <v>676</v>
      </c>
      <c r="C80" s="32" t="s">
        <v>496</v>
      </c>
      <c r="D80" s="32" t="s">
        <v>483</v>
      </c>
      <c r="E80" s="32">
        <v>8</v>
      </c>
      <c r="F80" s="32">
        <v>8</v>
      </c>
      <c r="G80" s="34" t="s">
        <v>745</v>
      </c>
      <c r="H80" s="81">
        <f t="shared" si="2"/>
        <v>8</v>
      </c>
      <c r="I80" s="39"/>
      <c r="J80" s="35"/>
      <c r="K80" s="63">
        <f t="shared" si="3"/>
        <v>0</v>
      </c>
      <c r="L80" s="32"/>
      <c r="M80" s="33"/>
      <c r="N80" s="40"/>
      <c r="O80" s="41"/>
      <c r="P80" s="32"/>
      <c r="Q80" s="32"/>
      <c r="R80" s="34"/>
      <c r="S80" s="39"/>
      <c r="T80" s="41"/>
      <c r="U80" s="65"/>
      <c r="V80" s="69"/>
      <c r="W80" s="80"/>
      <c r="X80" s="76"/>
      <c r="Y80" s="78"/>
      <c r="Z80" s="74"/>
      <c r="AA80" s="69"/>
      <c r="AB80" s="72"/>
    </row>
    <row r="81" spans="1:28" x14ac:dyDescent="0.25">
      <c r="A81" s="32" t="s">
        <v>677</v>
      </c>
      <c r="B81" s="32" t="s">
        <v>436</v>
      </c>
      <c r="C81" s="32" t="s">
        <v>496</v>
      </c>
      <c r="D81" s="32" t="s">
        <v>483</v>
      </c>
      <c r="E81" s="32">
        <v>8</v>
      </c>
      <c r="F81" s="32">
        <v>5.2999999999999545</v>
      </c>
      <c r="G81" s="34" t="s">
        <v>273</v>
      </c>
      <c r="H81" s="81">
        <f t="shared" si="2"/>
        <v>5.2999999999999545</v>
      </c>
      <c r="I81" s="39"/>
      <c r="J81" s="35"/>
      <c r="K81" s="63">
        <f t="shared" si="3"/>
        <v>0</v>
      </c>
      <c r="L81" s="32"/>
      <c r="M81" s="33"/>
      <c r="N81" s="40"/>
      <c r="O81" s="41"/>
      <c r="P81" s="32"/>
      <c r="Q81" s="32"/>
      <c r="R81" s="34"/>
      <c r="S81" s="39"/>
      <c r="T81" s="41"/>
      <c r="U81" s="65"/>
      <c r="V81" s="69"/>
      <c r="W81" s="80"/>
      <c r="X81" s="76"/>
      <c r="Y81" s="78"/>
      <c r="Z81" s="74"/>
      <c r="AA81" s="69"/>
      <c r="AB81" s="72"/>
    </row>
    <row r="82" spans="1:28" x14ac:dyDescent="0.25">
      <c r="A82" s="32" t="s">
        <v>678</v>
      </c>
      <c r="B82" s="32" t="s">
        <v>435</v>
      </c>
      <c r="C82" s="32" t="s">
        <v>496</v>
      </c>
      <c r="D82" s="32" t="s">
        <v>483</v>
      </c>
      <c r="E82" s="32">
        <v>8</v>
      </c>
      <c r="F82" s="32">
        <v>7.6000000000000227</v>
      </c>
      <c r="G82" s="34" t="s">
        <v>744</v>
      </c>
      <c r="H82" s="81">
        <f t="shared" si="2"/>
        <v>7.6000000000000227</v>
      </c>
      <c r="I82" s="39"/>
      <c r="J82" s="35"/>
      <c r="K82" s="63">
        <f t="shared" si="3"/>
        <v>0</v>
      </c>
      <c r="L82" s="32"/>
      <c r="M82" s="33"/>
      <c r="N82" s="40"/>
      <c r="O82" s="41"/>
      <c r="P82" s="32"/>
      <c r="Q82" s="32"/>
      <c r="R82" s="34"/>
      <c r="S82" s="39"/>
      <c r="T82" s="41"/>
      <c r="U82" s="65"/>
      <c r="V82" s="69"/>
      <c r="W82" s="80"/>
      <c r="X82" s="76"/>
      <c r="Y82" s="78"/>
      <c r="Z82" s="74"/>
      <c r="AA82" s="69"/>
      <c r="AB82" s="72"/>
    </row>
    <row r="83" spans="1:28" x14ac:dyDescent="0.25">
      <c r="A83" s="32" t="s">
        <v>679</v>
      </c>
      <c r="B83" s="32" t="s">
        <v>680</v>
      </c>
      <c r="C83" s="32" t="s">
        <v>496</v>
      </c>
      <c r="D83" s="32" t="s">
        <v>483</v>
      </c>
      <c r="E83" s="32">
        <v>8</v>
      </c>
      <c r="F83" s="32">
        <v>4.2000000000000455</v>
      </c>
      <c r="G83" s="34" t="s">
        <v>273</v>
      </c>
      <c r="H83" s="81">
        <f t="shared" si="2"/>
        <v>4.2000000000000455</v>
      </c>
      <c r="I83" s="39"/>
      <c r="J83" s="35"/>
      <c r="K83" s="63">
        <f t="shared" si="3"/>
        <v>0</v>
      </c>
      <c r="L83" s="32"/>
      <c r="M83" s="33"/>
      <c r="N83" s="40"/>
      <c r="O83" s="41"/>
      <c r="P83" s="32"/>
      <c r="Q83" s="32"/>
      <c r="R83" s="34"/>
      <c r="S83" s="39"/>
      <c r="T83" s="41"/>
      <c r="U83" s="65"/>
      <c r="V83" s="69"/>
      <c r="W83" s="80"/>
      <c r="X83" s="76"/>
      <c r="Y83" s="78"/>
      <c r="Z83" s="74"/>
      <c r="AA83" s="69"/>
      <c r="AB83" s="72"/>
    </row>
    <row r="84" spans="1:28" ht="30" x14ac:dyDescent="0.25">
      <c r="A84" s="32" t="s">
        <v>681</v>
      </c>
      <c r="B84" s="32" t="s">
        <v>437</v>
      </c>
      <c r="C84" s="32" t="s">
        <v>502</v>
      </c>
      <c r="D84" s="32" t="s">
        <v>483</v>
      </c>
      <c r="E84" s="32">
        <v>8</v>
      </c>
      <c r="F84" s="32">
        <v>11.100000000000023</v>
      </c>
      <c r="G84" s="34" t="s">
        <v>746</v>
      </c>
      <c r="H84" s="81">
        <f t="shared" si="2"/>
        <v>11.100000000000023</v>
      </c>
      <c r="I84" s="39"/>
      <c r="J84" s="35"/>
      <c r="K84" s="63">
        <f t="shared" si="3"/>
        <v>0</v>
      </c>
      <c r="L84" s="32"/>
      <c r="M84" s="33"/>
      <c r="N84" s="40"/>
      <c r="O84" s="41"/>
      <c r="P84" s="32"/>
      <c r="Q84" s="32"/>
      <c r="R84" s="34"/>
      <c r="S84" s="39" t="s">
        <v>759</v>
      </c>
      <c r="T84" s="41"/>
      <c r="U84" s="65"/>
      <c r="V84" s="69"/>
      <c r="W84" s="80"/>
      <c r="X84" s="76"/>
      <c r="Y84" s="78"/>
      <c r="Z84" s="74"/>
      <c r="AA84" s="69"/>
      <c r="AB84" s="72"/>
    </row>
    <row r="85" spans="1:28" x14ac:dyDescent="0.25">
      <c r="A85" s="32" t="s">
        <v>682</v>
      </c>
      <c r="B85" s="32" t="s">
        <v>439</v>
      </c>
      <c r="C85" s="32" t="s">
        <v>503</v>
      </c>
      <c r="D85" s="32" t="s">
        <v>483</v>
      </c>
      <c r="E85" s="32">
        <v>8</v>
      </c>
      <c r="F85" s="32">
        <v>6.3799999999999955</v>
      </c>
      <c r="G85" s="34" t="s">
        <v>731</v>
      </c>
      <c r="H85" s="81">
        <f t="shared" si="2"/>
        <v>6.3799999999999955</v>
      </c>
      <c r="I85" s="39"/>
      <c r="J85" s="35"/>
      <c r="K85" s="63">
        <f t="shared" si="3"/>
        <v>0</v>
      </c>
      <c r="L85" s="32"/>
      <c r="M85" s="33"/>
      <c r="N85" s="40"/>
      <c r="O85" s="41"/>
      <c r="P85" s="32"/>
      <c r="Q85" s="32"/>
      <c r="R85" s="34"/>
      <c r="S85" s="39"/>
      <c r="T85" s="41"/>
      <c r="U85" s="65"/>
      <c r="V85" s="69"/>
      <c r="W85" s="80"/>
      <c r="X85" s="76"/>
      <c r="Y85" s="78"/>
      <c r="Z85" s="74"/>
      <c r="AA85" s="69"/>
      <c r="AB85" s="72"/>
    </row>
    <row r="86" spans="1:28" x14ac:dyDescent="0.25">
      <c r="A86" s="32" t="s">
        <v>683</v>
      </c>
      <c r="B86" s="32" t="s">
        <v>405</v>
      </c>
      <c r="C86" s="32" t="s">
        <v>494</v>
      </c>
      <c r="D86" s="32" t="s">
        <v>483</v>
      </c>
      <c r="E86" s="32">
        <v>8</v>
      </c>
      <c r="F86" s="32">
        <v>4.82000000000005</v>
      </c>
      <c r="G86" s="34" t="s">
        <v>273</v>
      </c>
      <c r="H86" s="81">
        <f t="shared" si="2"/>
        <v>4.82000000000005</v>
      </c>
      <c r="I86" s="39"/>
      <c r="J86" s="35"/>
      <c r="K86" s="63">
        <f t="shared" si="3"/>
        <v>0</v>
      </c>
      <c r="L86" s="32"/>
      <c r="M86" s="33"/>
      <c r="N86" s="40"/>
      <c r="O86" s="41"/>
      <c r="P86" s="32"/>
      <c r="Q86" s="32"/>
      <c r="R86" s="34"/>
      <c r="S86" s="39"/>
      <c r="T86" s="41"/>
      <c r="U86" s="65"/>
      <c r="V86" s="69"/>
      <c r="W86" s="80"/>
      <c r="X86" s="76"/>
      <c r="Y86" s="78"/>
      <c r="Z86" s="74"/>
      <c r="AA86" s="69"/>
      <c r="AB86" s="72"/>
    </row>
    <row r="87" spans="1:28" x14ac:dyDescent="0.25">
      <c r="A87" s="32" t="s">
        <v>684</v>
      </c>
      <c r="B87" s="32" t="s">
        <v>685</v>
      </c>
      <c r="C87" s="32" t="s">
        <v>503</v>
      </c>
      <c r="D87" s="32" t="s">
        <v>483</v>
      </c>
      <c r="E87" s="32">
        <v>8</v>
      </c>
      <c r="F87" s="32">
        <v>18.110000000000014</v>
      </c>
      <c r="G87" s="34" t="s">
        <v>273</v>
      </c>
      <c r="H87" s="81">
        <f t="shared" si="2"/>
        <v>18.110000000000014</v>
      </c>
      <c r="I87" s="39"/>
      <c r="J87" s="35"/>
      <c r="K87" s="63">
        <f t="shared" si="3"/>
        <v>0</v>
      </c>
      <c r="L87" s="32"/>
      <c r="M87" s="33"/>
      <c r="N87" s="40"/>
      <c r="O87" s="41"/>
      <c r="P87" s="32"/>
      <c r="Q87" s="32"/>
      <c r="R87" s="34"/>
      <c r="S87" s="39" t="s">
        <v>760</v>
      </c>
      <c r="T87" s="41"/>
      <c r="U87" s="65"/>
      <c r="V87" s="69"/>
      <c r="W87" s="80"/>
      <c r="X87" s="76"/>
      <c r="Y87" s="78"/>
      <c r="Z87" s="74"/>
      <c r="AA87" s="69"/>
      <c r="AB87" s="72"/>
    </row>
    <row r="88" spans="1:28" x14ac:dyDescent="0.25">
      <c r="A88" s="32" t="s">
        <v>686</v>
      </c>
      <c r="B88" s="32" t="s">
        <v>442</v>
      </c>
      <c r="C88" s="32" t="s">
        <v>503</v>
      </c>
      <c r="D88" s="32" t="s">
        <v>483</v>
      </c>
      <c r="E88" s="32">
        <v>8</v>
      </c>
      <c r="F88" s="32">
        <v>19.059999999999945</v>
      </c>
      <c r="G88" s="34" t="s">
        <v>273</v>
      </c>
      <c r="H88" s="81">
        <f t="shared" ref="H88:H113" si="4">IF(J88&gt;0,J88,F88)</f>
        <v>19.059999999999945</v>
      </c>
      <c r="I88" s="39"/>
      <c r="J88" s="35"/>
      <c r="K88" s="63">
        <f t="shared" si="3"/>
        <v>0</v>
      </c>
      <c r="L88" s="32"/>
      <c r="M88" s="33"/>
      <c r="N88" s="40"/>
      <c r="O88" s="41"/>
      <c r="P88" s="32"/>
      <c r="Q88" s="32"/>
      <c r="R88" s="34"/>
      <c r="S88" s="39"/>
      <c r="T88" s="41"/>
      <c r="U88" s="65"/>
      <c r="V88" s="69"/>
      <c r="W88" s="80"/>
      <c r="X88" s="76"/>
      <c r="Y88" s="78"/>
      <c r="Z88" s="74"/>
      <c r="AA88" s="69"/>
      <c r="AB88" s="72"/>
    </row>
    <row r="89" spans="1:28" x14ac:dyDescent="0.25">
      <c r="A89" s="32" t="s">
        <v>687</v>
      </c>
      <c r="B89" s="32" t="s">
        <v>443</v>
      </c>
      <c r="C89" s="32" t="s">
        <v>503</v>
      </c>
      <c r="D89" s="32" t="s">
        <v>483</v>
      </c>
      <c r="E89" s="32">
        <v>8</v>
      </c>
      <c r="F89" s="32">
        <v>11.939999999999941</v>
      </c>
      <c r="G89" s="34" t="s">
        <v>273</v>
      </c>
      <c r="H89" s="81">
        <f t="shared" si="4"/>
        <v>11.939999999999941</v>
      </c>
      <c r="I89" s="39"/>
      <c r="J89" s="35"/>
      <c r="K89" s="63">
        <f t="shared" si="3"/>
        <v>0</v>
      </c>
      <c r="L89" s="32"/>
      <c r="M89" s="33"/>
      <c r="N89" s="40"/>
      <c r="O89" s="41"/>
      <c r="P89" s="32"/>
      <c r="Q89" s="32"/>
      <c r="R89" s="34"/>
      <c r="S89" s="39"/>
      <c r="T89" s="41"/>
      <c r="U89" s="65"/>
      <c r="V89" s="69"/>
      <c r="W89" s="80"/>
      <c r="X89" s="76"/>
      <c r="Y89" s="78"/>
      <c r="Z89" s="74"/>
      <c r="AA89" s="69"/>
      <c r="AB89" s="72"/>
    </row>
    <row r="90" spans="1:28" ht="90" x14ac:dyDescent="0.25">
      <c r="A90" s="32" t="s">
        <v>688</v>
      </c>
      <c r="B90" s="32" t="s">
        <v>446</v>
      </c>
      <c r="C90" s="32" t="s">
        <v>503</v>
      </c>
      <c r="D90" s="32" t="s">
        <v>486</v>
      </c>
      <c r="E90" s="32">
        <v>8</v>
      </c>
      <c r="F90" s="32">
        <v>4.9399999999999409</v>
      </c>
      <c r="G90" s="34" t="s">
        <v>747</v>
      </c>
      <c r="H90" s="81">
        <f t="shared" si="4"/>
        <v>4.9399999999999409</v>
      </c>
      <c r="I90" s="39"/>
      <c r="J90" s="35"/>
      <c r="K90" s="63">
        <f t="shared" si="3"/>
        <v>0</v>
      </c>
      <c r="L90" s="32"/>
      <c r="M90" s="33"/>
      <c r="N90" s="40"/>
      <c r="O90" s="41"/>
      <c r="P90" s="32"/>
      <c r="Q90" s="32"/>
      <c r="R90" s="34"/>
      <c r="S90" s="39" t="s">
        <v>761</v>
      </c>
      <c r="T90" s="41"/>
      <c r="U90" s="65"/>
      <c r="V90" s="69"/>
      <c r="W90" s="80"/>
      <c r="X90" s="76"/>
      <c r="Y90" s="78"/>
      <c r="Z90" s="74"/>
      <c r="AA90" s="69"/>
      <c r="AB90" s="72"/>
    </row>
    <row r="91" spans="1:28" x14ac:dyDescent="0.25">
      <c r="A91" s="32" t="s">
        <v>689</v>
      </c>
      <c r="B91" s="32" t="s">
        <v>451</v>
      </c>
      <c r="C91" s="32" t="s">
        <v>728</v>
      </c>
      <c r="D91" s="32" t="s">
        <v>486</v>
      </c>
      <c r="E91" s="32">
        <v>8</v>
      </c>
      <c r="F91" s="32">
        <v>6.2000000000000455</v>
      </c>
      <c r="G91" s="34" t="s">
        <v>748</v>
      </c>
      <c r="H91" s="81">
        <f t="shared" si="4"/>
        <v>6.2000000000000455</v>
      </c>
      <c r="I91" s="39"/>
      <c r="J91" s="35"/>
      <c r="K91" s="63">
        <f t="shared" si="3"/>
        <v>0</v>
      </c>
      <c r="L91" s="32"/>
      <c r="M91" s="33"/>
      <c r="N91" s="40"/>
      <c r="O91" s="41"/>
      <c r="P91" s="32"/>
      <c r="Q91" s="32"/>
      <c r="R91" s="34"/>
      <c r="S91" s="39"/>
      <c r="T91" s="41"/>
      <c r="U91" s="65"/>
      <c r="V91" s="69"/>
      <c r="W91" s="80"/>
      <c r="X91" s="76"/>
      <c r="Y91" s="78"/>
      <c r="Z91" s="74"/>
      <c r="AA91" s="69"/>
      <c r="AB91" s="72"/>
    </row>
    <row r="92" spans="1:28" x14ac:dyDescent="0.25">
      <c r="A92" s="32" t="s">
        <v>690</v>
      </c>
      <c r="B92" s="32" t="s">
        <v>448</v>
      </c>
      <c r="C92" s="32" t="s">
        <v>728</v>
      </c>
      <c r="D92" s="32" t="s">
        <v>486</v>
      </c>
      <c r="E92" s="32">
        <v>8</v>
      </c>
      <c r="F92" s="32">
        <v>4.4600000000000364</v>
      </c>
      <c r="G92" s="34" t="s">
        <v>731</v>
      </c>
      <c r="H92" s="81">
        <f t="shared" si="4"/>
        <v>4.4600000000000364</v>
      </c>
      <c r="I92" s="39"/>
      <c r="J92" s="35"/>
      <c r="K92" s="63">
        <f t="shared" si="3"/>
        <v>0</v>
      </c>
      <c r="L92" s="32"/>
      <c r="M92" s="33"/>
      <c r="N92" s="40"/>
      <c r="O92" s="41"/>
      <c r="P92" s="32"/>
      <c r="Q92" s="32"/>
      <c r="R92" s="34"/>
      <c r="S92" s="39"/>
      <c r="T92" s="41"/>
      <c r="U92" s="65"/>
      <c r="V92" s="69"/>
      <c r="W92" s="80"/>
      <c r="X92" s="76"/>
      <c r="Y92" s="78"/>
      <c r="Z92" s="74"/>
      <c r="AA92" s="69"/>
      <c r="AB92" s="72"/>
    </row>
    <row r="93" spans="1:28" x14ac:dyDescent="0.25">
      <c r="A93" s="32" t="s">
        <v>691</v>
      </c>
      <c r="B93" s="32" t="s">
        <v>692</v>
      </c>
      <c r="C93" s="32" t="s">
        <v>502</v>
      </c>
      <c r="D93" s="32" t="s">
        <v>486</v>
      </c>
      <c r="E93" s="32">
        <v>8</v>
      </c>
      <c r="F93" s="32">
        <v>13.5</v>
      </c>
      <c r="G93" s="34" t="s">
        <v>273</v>
      </c>
      <c r="H93" s="81">
        <f t="shared" si="4"/>
        <v>13.5</v>
      </c>
      <c r="I93" s="39"/>
      <c r="J93" s="35"/>
      <c r="K93" s="63">
        <f t="shared" si="3"/>
        <v>0</v>
      </c>
      <c r="L93" s="32"/>
      <c r="M93" s="33"/>
      <c r="N93" s="40"/>
      <c r="O93" s="41"/>
      <c r="P93" s="32"/>
      <c r="Q93" s="32"/>
      <c r="R93" s="34"/>
      <c r="S93" s="39"/>
      <c r="T93" s="41"/>
      <c r="U93" s="65"/>
      <c r="V93" s="69"/>
      <c r="W93" s="80"/>
      <c r="X93" s="76"/>
      <c r="Y93" s="78"/>
      <c r="Z93" s="74"/>
      <c r="AA93" s="69"/>
      <c r="AB93" s="72"/>
    </row>
    <row r="94" spans="1:28" x14ac:dyDescent="0.25">
      <c r="A94" s="32" t="s">
        <v>693</v>
      </c>
      <c r="B94" s="32" t="s">
        <v>694</v>
      </c>
      <c r="C94" s="32" t="s">
        <v>503</v>
      </c>
      <c r="D94" s="32" t="s">
        <v>486</v>
      </c>
      <c r="E94" s="32">
        <v>8</v>
      </c>
      <c r="F94" s="32">
        <v>11.459999999999923</v>
      </c>
      <c r="G94" s="34" t="s">
        <v>273</v>
      </c>
      <c r="H94" s="81">
        <f t="shared" si="4"/>
        <v>11.459999999999923</v>
      </c>
      <c r="I94" s="39"/>
      <c r="J94" s="35"/>
      <c r="K94" s="63">
        <f t="shared" si="3"/>
        <v>0</v>
      </c>
      <c r="L94" s="32"/>
      <c r="M94" s="33"/>
      <c r="N94" s="40"/>
      <c r="O94" s="41"/>
      <c r="P94" s="32"/>
      <c r="Q94" s="32"/>
      <c r="R94" s="34"/>
      <c r="S94" s="39"/>
      <c r="T94" s="41"/>
      <c r="U94" s="65"/>
      <c r="V94" s="69"/>
      <c r="W94" s="80"/>
      <c r="X94" s="76"/>
      <c r="Y94" s="78"/>
      <c r="Z94" s="74"/>
      <c r="AA94" s="69"/>
      <c r="AB94" s="72"/>
    </row>
    <row r="95" spans="1:28" x14ac:dyDescent="0.25">
      <c r="A95" s="32" t="s">
        <v>695</v>
      </c>
      <c r="B95" s="32" t="s">
        <v>696</v>
      </c>
      <c r="C95" s="32" t="s">
        <v>502</v>
      </c>
      <c r="D95" s="32" t="s">
        <v>486</v>
      </c>
      <c r="E95" s="32">
        <v>8</v>
      </c>
      <c r="F95" s="32">
        <v>10</v>
      </c>
      <c r="G95" s="34" t="s">
        <v>749</v>
      </c>
      <c r="H95" s="81">
        <f t="shared" si="4"/>
        <v>10</v>
      </c>
      <c r="I95" s="39"/>
      <c r="J95" s="35"/>
      <c r="K95" s="63">
        <f t="shared" si="3"/>
        <v>0</v>
      </c>
      <c r="L95" s="32"/>
      <c r="M95" s="33"/>
      <c r="N95" s="40"/>
      <c r="O95" s="41"/>
      <c r="P95" s="32"/>
      <c r="Q95" s="32"/>
      <c r="R95" s="34"/>
      <c r="S95" s="39"/>
      <c r="T95" s="41"/>
      <c r="U95" s="65"/>
      <c r="V95" s="69"/>
      <c r="W95" s="80"/>
      <c r="X95" s="76"/>
      <c r="Y95" s="78"/>
      <c r="Z95" s="74"/>
      <c r="AA95" s="69"/>
      <c r="AB95" s="72"/>
    </row>
    <row r="96" spans="1:28" x14ac:dyDescent="0.25">
      <c r="A96" s="32" t="s">
        <v>697</v>
      </c>
      <c r="B96" s="32" t="s">
        <v>698</v>
      </c>
      <c r="C96" s="32" t="s">
        <v>729</v>
      </c>
      <c r="D96" s="32" t="s">
        <v>486</v>
      </c>
      <c r="E96" s="32">
        <v>8</v>
      </c>
      <c r="F96" s="32">
        <v>7.2900000000000773</v>
      </c>
      <c r="G96" s="34" t="s">
        <v>273</v>
      </c>
      <c r="H96" s="81">
        <f t="shared" si="4"/>
        <v>7.2900000000000773</v>
      </c>
      <c r="I96" s="39"/>
      <c r="J96" s="35"/>
      <c r="K96" s="63">
        <f t="shared" si="3"/>
        <v>0</v>
      </c>
      <c r="L96" s="32"/>
      <c r="M96" s="33"/>
      <c r="N96" s="40"/>
      <c r="O96" s="41"/>
      <c r="P96" s="32"/>
      <c r="Q96" s="32"/>
      <c r="R96" s="34"/>
      <c r="S96" s="39"/>
      <c r="T96" s="41"/>
      <c r="U96" s="65"/>
      <c r="V96" s="69"/>
      <c r="W96" s="80"/>
      <c r="X96" s="76"/>
      <c r="Y96" s="78"/>
      <c r="Z96" s="74"/>
      <c r="AA96" s="69"/>
      <c r="AB96" s="72"/>
    </row>
    <row r="97" spans="1:28" x14ac:dyDescent="0.25">
      <c r="A97" s="32" t="s">
        <v>699</v>
      </c>
      <c r="B97" s="32" t="s">
        <v>449</v>
      </c>
      <c r="C97" s="32" t="s">
        <v>729</v>
      </c>
      <c r="D97" s="32" t="s">
        <v>486</v>
      </c>
      <c r="E97" s="32">
        <v>8</v>
      </c>
      <c r="F97" s="32">
        <v>4.8500000000000227</v>
      </c>
      <c r="G97" s="34" t="s">
        <v>743</v>
      </c>
      <c r="H97" s="81">
        <f t="shared" si="4"/>
        <v>4.8500000000000227</v>
      </c>
      <c r="I97" s="39"/>
      <c r="J97" s="35"/>
      <c r="K97" s="63">
        <f t="shared" si="3"/>
        <v>0</v>
      </c>
      <c r="L97" s="32"/>
      <c r="M97" s="33"/>
      <c r="N97" s="40"/>
      <c r="O97" s="41"/>
      <c r="P97" s="32"/>
      <c r="Q97" s="32"/>
      <c r="R97" s="34"/>
      <c r="S97" s="39"/>
      <c r="T97" s="41"/>
      <c r="U97" s="65"/>
      <c r="V97" s="69"/>
      <c r="W97" s="80"/>
      <c r="X97" s="76"/>
      <c r="Y97" s="78"/>
      <c r="Z97" s="74"/>
      <c r="AA97" s="69"/>
      <c r="AB97" s="72"/>
    </row>
    <row r="98" spans="1:28" ht="60" x14ac:dyDescent="0.25">
      <c r="A98" s="32" t="s">
        <v>700</v>
      </c>
      <c r="B98" s="32" t="s">
        <v>447</v>
      </c>
      <c r="C98" s="32" t="s">
        <v>729</v>
      </c>
      <c r="D98" s="32" t="s">
        <v>486</v>
      </c>
      <c r="E98" s="32">
        <v>8</v>
      </c>
      <c r="F98" s="32">
        <v>2.67999999999995</v>
      </c>
      <c r="G98" s="34" t="s">
        <v>579</v>
      </c>
      <c r="H98" s="81">
        <f t="shared" si="4"/>
        <v>2.67999999999995</v>
      </c>
      <c r="I98" s="39"/>
      <c r="J98" s="35"/>
      <c r="K98" s="63">
        <f t="shared" si="3"/>
        <v>0</v>
      </c>
      <c r="L98" s="32"/>
      <c r="M98" s="33"/>
      <c r="N98" s="40"/>
      <c r="O98" s="41"/>
      <c r="P98" s="32"/>
      <c r="Q98" s="32"/>
      <c r="R98" s="34"/>
      <c r="S98" s="39" t="s">
        <v>762</v>
      </c>
      <c r="T98" s="41"/>
      <c r="U98" s="65"/>
      <c r="V98" s="69"/>
      <c r="W98" s="80"/>
      <c r="X98" s="76"/>
      <c r="Y98" s="78"/>
      <c r="Z98" s="74"/>
      <c r="AA98" s="69"/>
      <c r="AB98" s="72"/>
    </row>
    <row r="99" spans="1:28" x14ac:dyDescent="0.25">
      <c r="A99" s="32" t="s">
        <v>701</v>
      </c>
      <c r="B99" s="32" t="s">
        <v>452</v>
      </c>
      <c r="C99" s="32" t="s">
        <v>505</v>
      </c>
      <c r="D99" s="32" t="s">
        <v>489</v>
      </c>
      <c r="E99" s="32">
        <v>8</v>
      </c>
      <c r="F99" s="32">
        <v>6.6999999999999318</v>
      </c>
      <c r="G99" s="34" t="s">
        <v>273</v>
      </c>
      <c r="H99" s="81">
        <f t="shared" si="4"/>
        <v>6.6999999999999318</v>
      </c>
      <c r="I99" s="39"/>
      <c r="J99" s="35"/>
      <c r="K99" s="63">
        <f t="shared" si="3"/>
        <v>0</v>
      </c>
      <c r="L99" s="32"/>
      <c r="M99" s="33"/>
      <c r="N99" s="40"/>
      <c r="O99" s="41"/>
      <c r="P99" s="32"/>
      <c r="Q99" s="32"/>
      <c r="R99" s="34"/>
      <c r="S99" s="39"/>
      <c r="T99" s="41"/>
      <c r="U99" s="65"/>
      <c r="V99" s="69"/>
      <c r="W99" s="80"/>
      <c r="X99" s="76"/>
      <c r="Y99" s="78"/>
      <c r="Z99" s="74"/>
      <c r="AA99" s="69"/>
      <c r="AB99" s="72"/>
    </row>
    <row r="100" spans="1:28" x14ac:dyDescent="0.25">
      <c r="A100" s="32" t="s">
        <v>702</v>
      </c>
      <c r="B100" s="32" t="s">
        <v>453</v>
      </c>
      <c r="C100" s="32" t="s">
        <v>505</v>
      </c>
      <c r="D100" s="32" t="s">
        <v>489</v>
      </c>
      <c r="E100" s="32">
        <v>8</v>
      </c>
      <c r="F100" s="32">
        <v>7</v>
      </c>
      <c r="G100" s="34" t="s">
        <v>273</v>
      </c>
      <c r="H100" s="81">
        <f t="shared" si="4"/>
        <v>7</v>
      </c>
      <c r="I100" s="39"/>
      <c r="J100" s="35"/>
      <c r="K100" s="63">
        <f t="shared" si="3"/>
        <v>0</v>
      </c>
      <c r="L100" s="32"/>
      <c r="M100" s="33"/>
      <c r="N100" s="40"/>
      <c r="O100" s="41"/>
      <c r="P100" s="32"/>
      <c r="Q100" s="32"/>
      <c r="R100" s="34"/>
      <c r="S100" s="39"/>
      <c r="T100" s="41"/>
      <c r="U100" s="65"/>
      <c r="V100" s="69"/>
      <c r="W100" s="80"/>
      <c r="X100" s="76"/>
      <c r="Y100" s="78"/>
      <c r="Z100" s="74"/>
      <c r="AA100" s="69"/>
      <c r="AB100" s="72"/>
    </row>
    <row r="101" spans="1:28" x14ac:dyDescent="0.25">
      <c r="A101" s="32" t="s">
        <v>703</v>
      </c>
      <c r="B101" s="32" t="s">
        <v>454</v>
      </c>
      <c r="C101" s="32" t="s">
        <v>505</v>
      </c>
      <c r="D101" s="32" t="s">
        <v>489</v>
      </c>
      <c r="E101" s="32">
        <v>8</v>
      </c>
      <c r="F101" s="32">
        <v>5.6200000000000045</v>
      </c>
      <c r="G101" s="34" t="s">
        <v>273</v>
      </c>
      <c r="H101" s="81">
        <f t="shared" si="4"/>
        <v>5.6200000000000045</v>
      </c>
      <c r="I101" s="39"/>
      <c r="J101" s="35"/>
      <c r="K101" s="63">
        <f t="shared" si="3"/>
        <v>0</v>
      </c>
      <c r="L101" s="32"/>
      <c r="M101" s="33"/>
      <c r="N101" s="40"/>
      <c r="O101" s="41"/>
      <c r="P101" s="32"/>
      <c r="Q101" s="32"/>
      <c r="R101" s="34"/>
      <c r="S101" s="39"/>
      <c r="T101" s="41"/>
      <c r="U101" s="65"/>
      <c r="V101" s="69"/>
      <c r="W101" s="80"/>
      <c r="X101" s="76"/>
      <c r="Y101" s="78"/>
      <c r="Z101" s="74"/>
      <c r="AA101" s="69"/>
      <c r="AB101" s="72"/>
    </row>
    <row r="102" spans="1:28" x14ac:dyDescent="0.25">
      <c r="A102" s="32" t="s">
        <v>704</v>
      </c>
      <c r="B102" s="32" t="s">
        <v>455</v>
      </c>
      <c r="C102" s="32" t="s">
        <v>495</v>
      </c>
      <c r="D102" s="32" t="s">
        <v>489</v>
      </c>
      <c r="E102" s="32">
        <v>8</v>
      </c>
      <c r="F102" s="32">
        <v>5.2799999999999727</v>
      </c>
      <c r="G102" s="34" t="s">
        <v>273</v>
      </c>
      <c r="H102" s="81">
        <f t="shared" si="4"/>
        <v>5.2799999999999727</v>
      </c>
      <c r="I102" s="39"/>
      <c r="J102" s="35"/>
      <c r="K102" s="63">
        <f t="shared" si="3"/>
        <v>0</v>
      </c>
      <c r="L102" s="32"/>
      <c r="M102" s="33"/>
      <c r="N102" s="40"/>
      <c r="O102" s="41"/>
      <c r="P102" s="32"/>
      <c r="Q102" s="32"/>
      <c r="R102" s="34"/>
      <c r="S102" s="39"/>
      <c r="T102" s="41"/>
      <c r="U102" s="65"/>
      <c r="V102" s="69"/>
      <c r="W102" s="80"/>
      <c r="X102" s="76"/>
      <c r="Y102" s="78"/>
      <c r="Z102" s="74"/>
      <c r="AA102" s="69"/>
      <c r="AB102" s="72"/>
    </row>
    <row r="103" spans="1:28" x14ac:dyDescent="0.25">
      <c r="A103" s="32" t="s">
        <v>705</v>
      </c>
      <c r="B103" s="32" t="s">
        <v>456</v>
      </c>
      <c r="C103" s="32" t="s">
        <v>495</v>
      </c>
      <c r="D103" s="32" t="s">
        <v>489</v>
      </c>
      <c r="E103" s="32">
        <v>8</v>
      </c>
      <c r="F103" s="32">
        <v>5.1499999999999773</v>
      </c>
      <c r="G103" s="34" t="s">
        <v>273</v>
      </c>
      <c r="H103" s="81">
        <f t="shared" si="4"/>
        <v>5.1499999999999773</v>
      </c>
      <c r="I103" s="39"/>
      <c r="J103" s="35"/>
      <c r="K103" s="63">
        <f t="shared" si="3"/>
        <v>0</v>
      </c>
      <c r="L103" s="32"/>
      <c r="M103" s="33"/>
      <c r="N103" s="40"/>
      <c r="O103" s="41"/>
      <c r="P103" s="32"/>
      <c r="Q103" s="32"/>
      <c r="R103" s="34"/>
      <c r="S103" s="39"/>
      <c r="T103" s="41"/>
      <c r="U103" s="65"/>
      <c r="V103" s="69"/>
      <c r="W103" s="80"/>
      <c r="X103" s="76"/>
      <c r="Y103" s="78"/>
      <c r="Z103" s="74"/>
      <c r="AA103" s="69"/>
      <c r="AB103" s="72"/>
    </row>
    <row r="104" spans="1:28" x14ac:dyDescent="0.25">
      <c r="A104" s="32" t="s">
        <v>706</v>
      </c>
      <c r="B104" s="32" t="s">
        <v>457</v>
      </c>
      <c r="C104" s="32" t="s">
        <v>493</v>
      </c>
      <c r="D104" s="32" t="s">
        <v>489</v>
      </c>
      <c r="E104" s="32">
        <v>8</v>
      </c>
      <c r="F104" s="32">
        <v>5.5500000000000682</v>
      </c>
      <c r="G104" s="34" t="s">
        <v>750</v>
      </c>
      <c r="H104" s="81">
        <f t="shared" si="4"/>
        <v>5.5500000000000682</v>
      </c>
      <c r="I104" s="39"/>
      <c r="J104" s="35"/>
      <c r="K104" s="63">
        <f t="shared" si="3"/>
        <v>0</v>
      </c>
      <c r="L104" s="32"/>
      <c r="M104" s="33"/>
      <c r="N104" s="40"/>
      <c r="O104" s="41"/>
      <c r="P104" s="32"/>
      <c r="Q104" s="32"/>
      <c r="R104" s="34"/>
      <c r="S104" s="39"/>
      <c r="T104" s="41"/>
      <c r="U104" s="65"/>
      <c r="V104" s="69"/>
      <c r="W104" s="80"/>
      <c r="X104" s="76"/>
      <c r="Y104" s="78"/>
      <c r="Z104" s="74"/>
      <c r="AA104" s="69"/>
      <c r="AB104" s="72"/>
    </row>
    <row r="105" spans="1:28" x14ac:dyDescent="0.25">
      <c r="A105" s="32" t="s">
        <v>707</v>
      </c>
      <c r="B105" s="32" t="s">
        <v>459</v>
      </c>
      <c r="C105" s="32" t="s">
        <v>493</v>
      </c>
      <c r="D105" s="32" t="s">
        <v>489</v>
      </c>
      <c r="E105" s="32">
        <v>8</v>
      </c>
      <c r="F105" s="32">
        <v>9.0899999999999181</v>
      </c>
      <c r="G105" s="34" t="s">
        <v>751</v>
      </c>
      <c r="H105" s="81">
        <f t="shared" si="4"/>
        <v>9.0899999999999181</v>
      </c>
      <c r="I105" s="39"/>
      <c r="J105" s="35"/>
      <c r="K105" s="63">
        <f t="shared" si="3"/>
        <v>0</v>
      </c>
      <c r="L105" s="32"/>
      <c r="M105" s="33"/>
      <c r="N105" s="40"/>
      <c r="O105" s="41"/>
      <c r="P105" s="32"/>
      <c r="Q105" s="32"/>
      <c r="R105" s="34"/>
      <c r="S105" s="39"/>
      <c r="T105" s="41"/>
      <c r="U105" s="65"/>
      <c r="V105" s="69"/>
      <c r="W105" s="80"/>
      <c r="X105" s="76"/>
      <c r="Y105" s="78"/>
      <c r="Z105" s="74"/>
      <c r="AA105" s="69"/>
      <c r="AB105" s="72"/>
    </row>
    <row r="106" spans="1:28" x14ac:dyDescent="0.25">
      <c r="A106" s="32" t="s">
        <v>708</v>
      </c>
      <c r="B106" s="32" t="s">
        <v>460</v>
      </c>
      <c r="C106" s="32" t="s">
        <v>505</v>
      </c>
      <c r="D106" s="32" t="s">
        <v>489</v>
      </c>
      <c r="E106" s="32">
        <v>8</v>
      </c>
      <c r="F106" s="32">
        <v>10.789999999999964</v>
      </c>
      <c r="G106" s="34" t="s">
        <v>273</v>
      </c>
      <c r="H106" s="81">
        <f t="shared" si="4"/>
        <v>10.789999999999964</v>
      </c>
      <c r="I106" s="39"/>
      <c r="J106" s="35"/>
      <c r="K106" s="63">
        <f t="shared" si="3"/>
        <v>0</v>
      </c>
      <c r="L106" s="32"/>
      <c r="M106" s="33"/>
      <c r="N106" s="40"/>
      <c r="O106" s="41"/>
      <c r="P106" s="32"/>
      <c r="Q106" s="32"/>
      <c r="R106" s="34"/>
      <c r="S106" s="39"/>
      <c r="T106" s="41"/>
      <c r="U106" s="65"/>
      <c r="V106" s="69"/>
      <c r="W106" s="80"/>
      <c r="X106" s="76"/>
      <c r="Y106" s="78"/>
      <c r="Z106" s="74"/>
      <c r="AA106" s="69"/>
      <c r="AB106" s="72"/>
    </row>
    <row r="107" spans="1:28" x14ac:dyDescent="0.25">
      <c r="A107" s="32" t="s">
        <v>709</v>
      </c>
      <c r="B107" s="32" t="s">
        <v>461</v>
      </c>
      <c r="C107" s="32" t="s">
        <v>505</v>
      </c>
      <c r="D107" s="32" t="s">
        <v>489</v>
      </c>
      <c r="E107" s="32">
        <v>8</v>
      </c>
      <c r="F107" s="32">
        <v>7.1000000000000227</v>
      </c>
      <c r="G107" s="34" t="s">
        <v>742</v>
      </c>
      <c r="H107" s="81">
        <f t="shared" si="4"/>
        <v>7.1000000000000227</v>
      </c>
      <c r="I107" s="39"/>
      <c r="J107" s="35"/>
      <c r="K107" s="63">
        <f t="shared" si="3"/>
        <v>0</v>
      </c>
      <c r="L107" s="32"/>
      <c r="M107" s="33"/>
      <c r="N107" s="40"/>
      <c r="O107" s="41"/>
      <c r="P107" s="32"/>
      <c r="Q107" s="32"/>
      <c r="R107" s="34"/>
      <c r="S107" s="39"/>
      <c r="T107" s="41"/>
      <c r="U107" s="65"/>
      <c r="V107" s="69"/>
      <c r="W107" s="80"/>
      <c r="X107" s="76"/>
      <c r="Y107" s="78"/>
      <c r="Z107" s="74"/>
      <c r="AA107" s="69"/>
      <c r="AB107" s="72"/>
    </row>
    <row r="108" spans="1:28" x14ac:dyDescent="0.25">
      <c r="A108" s="32" t="s">
        <v>710</v>
      </c>
      <c r="B108" s="32" t="s">
        <v>462</v>
      </c>
      <c r="C108" s="32" t="s">
        <v>505</v>
      </c>
      <c r="D108" s="32" t="s">
        <v>489</v>
      </c>
      <c r="E108" s="32">
        <v>8</v>
      </c>
      <c r="F108" s="32">
        <v>5.5500000000000682</v>
      </c>
      <c r="G108" s="34" t="s">
        <v>273</v>
      </c>
      <c r="H108" s="81">
        <f t="shared" si="4"/>
        <v>5.5500000000000682</v>
      </c>
      <c r="I108" s="39"/>
      <c r="J108" s="35"/>
      <c r="K108" s="63">
        <f t="shared" si="3"/>
        <v>0</v>
      </c>
      <c r="L108" s="32"/>
      <c r="M108" s="33"/>
      <c r="N108" s="40"/>
      <c r="O108" s="41"/>
      <c r="P108" s="32"/>
      <c r="Q108" s="32"/>
      <c r="R108" s="34"/>
      <c r="S108" s="39"/>
      <c r="T108" s="41"/>
      <c r="U108" s="65"/>
      <c r="V108" s="69"/>
      <c r="W108" s="80"/>
      <c r="X108" s="76"/>
      <c r="Y108" s="78"/>
      <c r="Z108" s="74"/>
      <c r="AA108" s="69"/>
      <c r="AB108" s="72"/>
    </row>
    <row r="109" spans="1:28" x14ac:dyDescent="0.25">
      <c r="A109" s="32" t="s">
        <v>711</v>
      </c>
      <c r="B109" s="32" t="s">
        <v>467</v>
      </c>
      <c r="C109" s="32" t="s">
        <v>495</v>
      </c>
      <c r="D109" s="32" t="s">
        <v>489</v>
      </c>
      <c r="E109" s="32">
        <v>8</v>
      </c>
      <c r="F109" s="32">
        <v>10.529999999999973</v>
      </c>
      <c r="G109" s="34" t="s">
        <v>273</v>
      </c>
      <c r="H109" s="81">
        <f t="shared" si="4"/>
        <v>10.529999999999973</v>
      </c>
      <c r="I109" s="39"/>
      <c r="J109" s="35"/>
      <c r="K109" s="63">
        <f t="shared" si="3"/>
        <v>0</v>
      </c>
      <c r="L109" s="32"/>
      <c r="M109" s="33"/>
      <c r="N109" s="40"/>
      <c r="O109" s="41"/>
      <c r="P109" s="32"/>
      <c r="Q109" s="32"/>
      <c r="R109" s="34"/>
      <c r="S109" s="39"/>
      <c r="T109" s="41"/>
      <c r="U109" s="65"/>
      <c r="V109" s="69"/>
      <c r="W109" s="80"/>
      <c r="X109" s="76"/>
      <c r="Y109" s="78"/>
      <c r="Z109" s="74"/>
      <c r="AA109" s="69"/>
      <c r="AB109" s="72"/>
    </row>
    <row r="110" spans="1:28" x14ac:dyDescent="0.25">
      <c r="A110" s="32" t="s">
        <v>712</v>
      </c>
      <c r="B110" s="32" t="s">
        <v>469</v>
      </c>
      <c r="C110" s="32" t="s">
        <v>506</v>
      </c>
      <c r="D110" s="32" t="s">
        <v>492</v>
      </c>
      <c r="E110" s="32">
        <v>8</v>
      </c>
      <c r="F110" s="32">
        <v>6.8799999999999955</v>
      </c>
      <c r="G110" s="34" t="s">
        <v>273</v>
      </c>
      <c r="H110" s="81">
        <f t="shared" si="4"/>
        <v>6.8799999999999955</v>
      </c>
      <c r="I110" s="39"/>
      <c r="J110" s="35"/>
      <c r="K110" s="63">
        <f t="shared" si="3"/>
        <v>0</v>
      </c>
      <c r="L110" s="32"/>
      <c r="M110" s="33"/>
      <c r="N110" s="40"/>
      <c r="O110" s="41"/>
      <c r="P110" s="32"/>
      <c r="Q110" s="32"/>
      <c r="R110" s="34"/>
      <c r="S110" s="39"/>
      <c r="T110" s="41"/>
      <c r="U110" s="65"/>
      <c r="V110" s="69"/>
      <c r="W110" s="80"/>
      <c r="X110" s="76"/>
      <c r="Y110" s="78"/>
      <c r="Z110" s="74"/>
      <c r="AA110" s="69"/>
      <c r="AB110" s="72"/>
    </row>
    <row r="111" spans="1:28" ht="45" x14ac:dyDescent="0.25">
      <c r="A111" s="32" t="s">
        <v>713</v>
      </c>
      <c r="B111" s="32" t="s">
        <v>470</v>
      </c>
      <c r="C111" s="32" t="s">
        <v>506</v>
      </c>
      <c r="D111" s="32" t="s">
        <v>492</v>
      </c>
      <c r="E111" s="32">
        <v>8</v>
      </c>
      <c r="F111" s="32">
        <v>6.5400000000000773</v>
      </c>
      <c r="G111" s="34" t="s">
        <v>747</v>
      </c>
      <c r="H111" s="81">
        <f t="shared" si="4"/>
        <v>6.5400000000000773</v>
      </c>
      <c r="I111" s="39"/>
      <c r="J111" s="35"/>
      <c r="K111" s="63">
        <f t="shared" si="3"/>
        <v>0</v>
      </c>
      <c r="L111" s="32"/>
      <c r="M111" s="33"/>
      <c r="N111" s="40"/>
      <c r="O111" s="41"/>
      <c r="P111" s="32"/>
      <c r="Q111" s="32"/>
      <c r="R111" s="34"/>
      <c r="S111" s="39" t="s">
        <v>763</v>
      </c>
      <c r="T111" s="41"/>
      <c r="U111" s="65"/>
      <c r="V111" s="69"/>
      <c r="W111" s="80"/>
      <c r="X111" s="76"/>
      <c r="Y111" s="78"/>
      <c r="Z111" s="74"/>
      <c r="AA111" s="69"/>
      <c r="AB111" s="72"/>
    </row>
    <row r="112" spans="1:28" x14ac:dyDescent="0.25">
      <c r="A112" s="32" t="s">
        <v>714</v>
      </c>
      <c r="B112" s="32" t="s">
        <v>471</v>
      </c>
      <c r="C112" s="32" t="s">
        <v>494</v>
      </c>
      <c r="D112" s="32" t="s">
        <v>492</v>
      </c>
      <c r="E112" s="32">
        <v>8</v>
      </c>
      <c r="F112" s="32">
        <v>6.6800000000000637</v>
      </c>
      <c r="G112" s="34" t="s">
        <v>273</v>
      </c>
      <c r="H112" s="81">
        <f t="shared" si="4"/>
        <v>6.6800000000000637</v>
      </c>
      <c r="I112" s="39"/>
      <c r="J112" s="35"/>
      <c r="K112" s="63">
        <f t="shared" si="3"/>
        <v>0</v>
      </c>
      <c r="L112" s="32"/>
      <c r="M112" s="33"/>
      <c r="N112" s="40"/>
      <c r="O112" s="41"/>
      <c r="P112" s="32"/>
      <c r="Q112" s="32"/>
      <c r="R112" s="34"/>
      <c r="S112" s="39"/>
      <c r="T112" s="41"/>
      <c r="U112" s="65"/>
      <c r="V112" s="69"/>
      <c r="W112" s="80"/>
      <c r="X112" s="76"/>
      <c r="Y112" s="78"/>
      <c r="Z112" s="74"/>
      <c r="AA112" s="69"/>
      <c r="AB112" s="72"/>
    </row>
    <row r="113" spans="1:28" x14ac:dyDescent="0.25">
      <c r="A113" s="32" t="s">
        <v>715</v>
      </c>
      <c r="B113" s="32" t="s">
        <v>716</v>
      </c>
      <c r="C113" s="32" t="s">
        <v>494</v>
      </c>
      <c r="D113" s="32" t="s">
        <v>492</v>
      </c>
      <c r="E113" s="32">
        <v>8</v>
      </c>
      <c r="F113" s="35">
        <v>8.4599999999999227</v>
      </c>
      <c r="G113" s="34" t="s">
        <v>273</v>
      </c>
      <c r="H113" s="81">
        <f t="shared" si="4"/>
        <v>8.4599999999999227</v>
      </c>
      <c r="I113" s="39"/>
      <c r="J113" s="35"/>
      <c r="K113" s="63">
        <f t="shared" si="3"/>
        <v>0</v>
      </c>
      <c r="L113" s="32"/>
      <c r="M113" s="33"/>
      <c r="N113" s="40"/>
      <c r="O113" s="41"/>
      <c r="P113" s="32"/>
      <c r="Q113" s="32"/>
      <c r="R113" s="34"/>
      <c r="S113" s="39"/>
      <c r="T113" s="41"/>
      <c r="U113" s="65"/>
      <c r="V113" s="69"/>
      <c r="W113" s="80"/>
      <c r="X113" s="76"/>
      <c r="Y113" s="78"/>
      <c r="Z113" s="74"/>
      <c r="AA113" s="69"/>
      <c r="AB113" s="72"/>
    </row>
    <row r="114" spans="1:28" x14ac:dyDescent="0.25">
      <c r="A114" s="32" t="s">
        <v>717</v>
      </c>
      <c r="B114" s="32" t="s">
        <v>718</v>
      </c>
      <c r="C114" s="32" t="s">
        <v>494</v>
      </c>
      <c r="D114" s="32" t="s">
        <v>492</v>
      </c>
      <c r="E114" s="32">
        <v>8</v>
      </c>
      <c r="F114" s="35">
        <v>8.07000000000005</v>
      </c>
      <c r="G114" s="34" t="s">
        <v>273</v>
      </c>
      <c r="H114" s="81">
        <f t="shared" ref="H114:H125" si="5">IF(J114&gt;0,J114,F114)</f>
        <v>8.07000000000005</v>
      </c>
      <c r="I114" s="39"/>
      <c r="J114" s="35"/>
      <c r="K114" s="63">
        <f t="shared" ref="K114:K125" si="6">IF(J114&gt;6, J114-6,0)</f>
        <v>0</v>
      </c>
      <c r="L114" s="32"/>
      <c r="M114" s="33"/>
      <c r="N114" s="40"/>
      <c r="O114" s="41"/>
      <c r="P114" s="32"/>
      <c r="Q114" s="32"/>
      <c r="R114" s="34"/>
      <c r="S114" s="39"/>
      <c r="T114" s="41"/>
      <c r="U114" s="65"/>
      <c r="V114" s="69"/>
      <c r="W114" s="80"/>
      <c r="X114" s="76"/>
      <c r="Y114" s="78"/>
      <c r="Z114" s="74"/>
      <c r="AA114" s="69"/>
      <c r="AB114" s="72"/>
    </row>
    <row r="115" spans="1:28" x14ac:dyDescent="0.25">
      <c r="A115" s="32" t="s">
        <v>719</v>
      </c>
      <c r="B115" s="32" t="s">
        <v>472</v>
      </c>
      <c r="C115" s="32" t="s">
        <v>506</v>
      </c>
      <c r="D115" s="32" t="s">
        <v>492</v>
      </c>
      <c r="E115" s="32">
        <v>8</v>
      </c>
      <c r="F115" s="35">
        <v>4.6800000000000637</v>
      </c>
      <c r="G115" s="34" t="s">
        <v>273</v>
      </c>
      <c r="H115" s="81">
        <f t="shared" si="5"/>
        <v>4.6800000000000637</v>
      </c>
      <c r="I115" s="39"/>
      <c r="J115" s="35"/>
      <c r="K115" s="63">
        <f t="shared" si="6"/>
        <v>0</v>
      </c>
      <c r="L115" s="32"/>
      <c r="M115" s="33"/>
      <c r="N115" s="40"/>
      <c r="O115" s="41"/>
      <c r="P115" s="32"/>
      <c r="Q115" s="32"/>
      <c r="R115" s="34"/>
      <c r="S115" s="39"/>
      <c r="T115" s="41"/>
      <c r="U115" s="65"/>
      <c r="V115" s="69"/>
      <c r="W115" s="80"/>
      <c r="X115" s="76"/>
      <c r="Y115" s="78"/>
      <c r="Z115" s="74"/>
      <c r="AA115" s="69"/>
      <c r="AB115" s="72"/>
    </row>
    <row r="116" spans="1:28" x14ac:dyDescent="0.25">
      <c r="A116" s="32" t="s">
        <v>720</v>
      </c>
      <c r="B116" s="32" t="s">
        <v>474</v>
      </c>
      <c r="C116" s="32" t="s">
        <v>506</v>
      </c>
      <c r="D116" s="32" t="s">
        <v>492</v>
      </c>
      <c r="E116" s="32">
        <v>8</v>
      </c>
      <c r="F116" s="35">
        <v>9.1499999999999773</v>
      </c>
      <c r="G116" s="34" t="s">
        <v>752</v>
      </c>
      <c r="H116" s="81">
        <f t="shared" si="5"/>
        <v>9.1499999999999773</v>
      </c>
      <c r="I116" s="39"/>
      <c r="J116" s="35"/>
      <c r="K116" s="63">
        <f t="shared" si="6"/>
        <v>0</v>
      </c>
      <c r="L116" s="32"/>
      <c r="M116" s="33"/>
      <c r="N116" s="40"/>
      <c r="O116" s="41"/>
      <c r="P116" s="32"/>
      <c r="Q116" s="32"/>
      <c r="R116" s="34"/>
      <c r="S116" s="39" t="s">
        <v>25</v>
      </c>
      <c r="T116" s="41"/>
      <c r="U116" s="65"/>
      <c r="V116" s="69"/>
      <c r="W116" s="80"/>
      <c r="X116" s="76"/>
      <c r="Y116" s="78"/>
      <c r="Z116" s="74"/>
      <c r="AA116" s="69"/>
      <c r="AB116" s="72"/>
    </row>
    <row r="117" spans="1:28" x14ac:dyDescent="0.25">
      <c r="A117" s="32" t="s">
        <v>721</v>
      </c>
      <c r="B117" s="32" t="s">
        <v>476</v>
      </c>
      <c r="C117" s="32" t="s">
        <v>505</v>
      </c>
      <c r="D117" s="32" t="s">
        <v>492</v>
      </c>
      <c r="E117" s="32">
        <v>8</v>
      </c>
      <c r="F117" s="35">
        <v>5.0900000000000318</v>
      </c>
      <c r="G117" s="34" t="s">
        <v>273</v>
      </c>
      <c r="H117" s="81">
        <f t="shared" si="5"/>
        <v>5.0900000000000318</v>
      </c>
      <c r="I117" s="39"/>
      <c r="J117" s="35"/>
      <c r="K117" s="63">
        <f t="shared" si="6"/>
        <v>0</v>
      </c>
      <c r="L117" s="32"/>
      <c r="M117" s="33"/>
      <c r="N117" s="40"/>
      <c r="O117" s="41"/>
      <c r="P117" s="32"/>
      <c r="Q117" s="32"/>
      <c r="R117" s="34"/>
      <c r="S117" s="39"/>
      <c r="T117" s="41"/>
      <c r="U117" s="65"/>
      <c r="V117" s="69"/>
      <c r="W117" s="80"/>
      <c r="X117" s="76"/>
      <c r="Y117" s="78"/>
      <c r="Z117" s="74"/>
      <c r="AA117" s="69"/>
      <c r="AB117" s="72"/>
    </row>
    <row r="118" spans="1:28" x14ac:dyDescent="0.25">
      <c r="A118" s="32" t="s">
        <v>722</v>
      </c>
      <c r="B118" s="32" t="s">
        <v>478</v>
      </c>
      <c r="C118" s="32" t="s">
        <v>505</v>
      </c>
      <c r="D118" s="32" t="s">
        <v>492</v>
      </c>
      <c r="E118" s="32">
        <v>8</v>
      </c>
      <c r="F118" s="35">
        <v>5.8300000000000409</v>
      </c>
      <c r="G118" s="34" t="s">
        <v>273</v>
      </c>
      <c r="H118" s="81">
        <f t="shared" si="5"/>
        <v>5.8300000000000409</v>
      </c>
      <c r="I118" s="39"/>
      <c r="J118" s="35"/>
      <c r="K118" s="63">
        <f t="shared" si="6"/>
        <v>0</v>
      </c>
      <c r="L118" s="32"/>
      <c r="M118" s="33"/>
      <c r="N118" s="40"/>
      <c r="O118" s="41"/>
      <c r="P118" s="32"/>
      <c r="Q118" s="32"/>
      <c r="R118" s="34"/>
      <c r="S118" s="39"/>
      <c r="T118" s="41"/>
      <c r="U118" s="65"/>
      <c r="V118" s="69"/>
      <c r="W118" s="80"/>
      <c r="X118" s="76"/>
      <c r="Y118" s="78"/>
      <c r="Z118" s="74"/>
      <c r="AA118" s="69"/>
      <c r="AB118" s="72"/>
    </row>
    <row r="119" spans="1:28" x14ac:dyDescent="0.25">
      <c r="A119" s="32" t="s">
        <v>723</v>
      </c>
      <c r="B119" s="32" t="s">
        <v>479</v>
      </c>
      <c r="C119" s="32" t="s">
        <v>505</v>
      </c>
      <c r="D119" s="32" t="s">
        <v>492</v>
      </c>
      <c r="E119" s="32">
        <v>8</v>
      </c>
      <c r="F119" s="35">
        <v>5.2000000000000455</v>
      </c>
      <c r="G119" s="34" t="s">
        <v>273</v>
      </c>
      <c r="H119" s="81">
        <f t="shared" si="5"/>
        <v>5.2000000000000455</v>
      </c>
      <c r="I119" s="39"/>
      <c r="J119" s="35"/>
      <c r="K119" s="63">
        <f t="shared" si="6"/>
        <v>0</v>
      </c>
      <c r="L119" s="32"/>
      <c r="M119" s="33"/>
      <c r="N119" s="40"/>
      <c r="O119" s="41"/>
      <c r="P119" s="32"/>
      <c r="Q119" s="32"/>
      <c r="R119" s="34"/>
      <c r="S119" s="39"/>
      <c r="T119" s="41"/>
      <c r="U119" s="65"/>
      <c r="V119" s="69"/>
      <c r="W119" s="80"/>
      <c r="X119" s="76"/>
      <c r="Y119" s="78"/>
      <c r="Z119" s="74"/>
      <c r="AA119" s="69"/>
      <c r="AB119" s="72"/>
    </row>
    <row r="120" spans="1:28" x14ac:dyDescent="0.25">
      <c r="A120" s="32" t="s">
        <v>724</v>
      </c>
      <c r="B120" s="32" t="s">
        <v>725</v>
      </c>
      <c r="C120" s="32" t="s">
        <v>494</v>
      </c>
      <c r="D120" s="32" t="s">
        <v>492</v>
      </c>
      <c r="E120" s="32">
        <v>8</v>
      </c>
      <c r="F120" s="35">
        <v>4.8600000000000136</v>
      </c>
      <c r="G120" s="34" t="s">
        <v>273</v>
      </c>
      <c r="H120" s="81">
        <f t="shared" si="5"/>
        <v>4.8600000000000136</v>
      </c>
      <c r="I120" s="39"/>
      <c r="J120" s="35"/>
      <c r="K120" s="63">
        <f t="shared" si="6"/>
        <v>0</v>
      </c>
      <c r="L120" s="32"/>
      <c r="M120" s="33"/>
      <c r="N120" s="40"/>
      <c r="O120" s="41"/>
      <c r="P120" s="32"/>
      <c r="Q120" s="32"/>
      <c r="R120" s="34"/>
      <c r="S120" s="39"/>
      <c r="T120" s="41"/>
      <c r="U120" s="65"/>
      <c r="V120" s="69"/>
      <c r="W120" s="80"/>
      <c r="X120" s="76"/>
      <c r="Y120" s="78"/>
      <c r="Z120" s="74"/>
      <c r="AA120" s="69"/>
      <c r="AB120" s="72"/>
    </row>
    <row r="121" spans="1:28" ht="30" x14ac:dyDescent="0.25">
      <c r="A121" s="32" t="s">
        <v>726</v>
      </c>
      <c r="B121" s="32" t="s">
        <v>445</v>
      </c>
      <c r="C121" s="32" t="s">
        <v>730</v>
      </c>
      <c r="D121" s="32" t="s">
        <v>485</v>
      </c>
      <c r="E121" s="32">
        <v>8</v>
      </c>
      <c r="F121" s="35">
        <v>5.0199999999999818</v>
      </c>
      <c r="G121" s="34" t="s">
        <v>742</v>
      </c>
      <c r="H121" s="81">
        <f t="shared" si="5"/>
        <v>5.0199999999999818</v>
      </c>
      <c r="I121" s="39"/>
      <c r="J121" s="35"/>
      <c r="K121" s="63">
        <f t="shared" si="6"/>
        <v>0</v>
      </c>
      <c r="L121" s="32"/>
      <c r="M121" s="33"/>
      <c r="N121" s="40"/>
      <c r="O121" s="41"/>
      <c r="P121" s="32"/>
      <c r="Q121" s="32"/>
      <c r="R121" s="34"/>
      <c r="S121" s="39"/>
      <c r="T121" s="41"/>
      <c r="U121" s="65"/>
      <c r="V121" s="69"/>
      <c r="W121" s="80"/>
      <c r="X121" s="76"/>
      <c r="Y121" s="78"/>
      <c r="Z121" s="74"/>
      <c r="AA121" s="69"/>
      <c r="AB121" s="72"/>
    </row>
    <row r="122" spans="1:28" x14ac:dyDescent="0.25">
      <c r="A122" s="32" t="s">
        <v>727</v>
      </c>
      <c r="B122" s="32" t="s">
        <v>444</v>
      </c>
      <c r="C122" s="32" t="s">
        <v>494</v>
      </c>
      <c r="D122" s="32" t="s">
        <v>485</v>
      </c>
      <c r="E122" s="32">
        <v>8</v>
      </c>
      <c r="F122" s="35">
        <v>5</v>
      </c>
      <c r="G122" s="34" t="s">
        <v>273</v>
      </c>
      <c r="H122" s="81">
        <f t="shared" si="5"/>
        <v>5</v>
      </c>
      <c r="I122" s="39"/>
      <c r="J122" s="35"/>
      <c r="K122" s="63">
        <f t="shared" si="6"/>
        <v>0</v>
      </c>
      <c r="L122" s="32"/>
      <c r="M122" s="33"/>
      <c r="N122" s="40"/>
      <c r="O122" s="41"/>
      <c r="P122" s="32"/>
      <c r="Q122" s="32"/>
      <c r="R122" s="34"/>
      <c r="S122" s="39"/>
      <c r="T122" s="41"/>
      <c r="U122" s="65"/>
      <c r="V122" s="69"/>
      <c r="W122" s="80"/>
      <c r="X122" s="76"/>
      <c r="Y122" s="78"/>
      <c r="Z122" s="74"/>
      <c r="AA122" s="69"/>
      <c r="AB122" s="72"/>
    </row>
    <row r="123" spans="1:28" x14ac:dyDescent="0.25">
      <c r="A123" s="32" t="s">
        <v>861</v>
      </c>
      <c r="B123" s="32" t="s">
        <v>175</v>
      </c>
      <c r="C123" s="32" t="s">
        <v>211</v>
      </c>
      <c r="D123" s="32" t="s">
        <v>206</v>
      </c>
      <c r="E123" s="32"/>
      <c r="F123" s="35">
        <v>6.5999999999999659</v>
      </c>
      <c r="G123" s="34" t="s">
        <v>273</v>
      </c>
      <c r="H123" s="81">
        <f t="shared" si="5"/>
        <v>6.5999999999999659</v>
      </c>
      <c r="I123" s="39"/>
      <c r="J123" s="35"/>
      <c r="K123" s="63">
        <f t="shared" si="6"/>
        <v>0</v>
      </c>
      <c r="L123" s="32"/>
      <c r="M123" s="33"/>
      <c r="N123" s="40"/>
      <c r="O123" s="41"/>
      <c r="P123" s="32"/>
      <c r="Q123" s="32"/>
      <c r="R123" s="34"/>
      <c r="S123" s="39"/>
      <c r="T123" s="41"/>
      <c r="U123" s="65"/>
      <c r="V123" s="69"/>
      <c r="W123" s="80"/>
      <c r="X123" s="76"/>
      <c r="Y123" s="78"/>
      <c r="Z123" s="74"/>
      <c r="AA123" s="69"/>
      <c r="AB123" s="72"/>
    </row>
    <row r="124" spans="1:28" x14ac:dyDescent="0.25">
      <c r="A124" s="32" t="s">
        <v>862</v>
      </c>
      <c r="B124" s="32" t="s">
        <v>174</v>
      </c>
      <c r="C124" s="32" t="s">
        <v>211</v>
      </c>
      <c r="D124" s="32" t="s">
        <v>206</v>
      </c>
      <c r="E124" s="32"/>
      <c r="F124" s="35">
        <v>3.8699999999999477</v>
      </c>
      <c r="G124" s="34" t="s">
        <v>273</v>
      </c>
      <c r="H124" s="81">
        <f t="shared" si="5"/>
        <v>3.8699999999999477</v>
      </c>
      <c r="I124" s="39"/>
      <c r="J124" s="35"/>
      <c r="K124" s="63">
        <f t="shared" si="6"/>
        <v>0</v>
      </c>
      <c r="L124" s="32"/>
      <c r="M124" s="33"/>
      <c r="N124" s="40"/>
      <c r="O124" s="41"/>
      <c r="P124" s="32"/>
      <c r="Q124" s="32"/>
      <c r="R124" s="34"/>
      <c r="S124" s="39"/>
      <c r="T124" s="41"/>
      <c r="U124" s="65"/>
      <c r="V124" s="69"/>
      <c r="W124" s="80"/>
      <c r="X124" s="76"/>
      <c r="Y124" s="78"/>
      <c r="Z124" s="74"/>
      <c r="AA124" s="69"/>
      <c r="AB124" s="72"/>
    </row>
    <row r="125" spans="1:28" x14ac:dyDescent="0.25">
      <c r="A125" s="32" t="s">
        <v>863</v>
      </c>
      <c r="B125" s="32" t="s">
        <v>176</v>
      </c>
      <c r="C125" s="32" t="s">
        <v>211</v>
      </c>
      <c r="D125" s="32" t="s">
        <v>206</v>
      </c>
      <c r="E125" s="32"/>
      <c r="F125" s="35">
        <v>6.3999999999999773</v>
      </c>
      <c r="G125" s="34" t="s">
        <v>273</v>
      </c>
      <c r="H125" s="81">
        <f t="shared" si="5"/>
        <v>6.3999999999999773</v>
      </c>
      <c r="I125" s="39"/>
      <c r="J125" s="35"/>
      <c r="K125" s="63">
        <f t="shared" si="6"/>
        <v>0</v>
      </c>
      <c r="L125" s="32"/>
      <c r="M125" s="33"/>
      <c r="N125" s="40"/>
      <c r="O125" s="41"/>
      <c r="P125" s="32"/>
      <c r="Q125" s="32"/>
      <c r="R125" s="34"/>
      <c r="S125" s="39"/>
      <c r="T125" s="41"/>
      <c r="U125" s="65"/>
      <c r="V125" s="69"/>
      <c r="W125" s="80"/>
      <c r="X125" s="76"/>
      <c r="Y125" s="78"/>
      <c r="Z125" s="74"/>
      <c r="AA125" s="69"/>
      <c r="AB125" s="72"/>
    </row>
    <row r="126" spans="1:28" x14ac:dyDescent="0.25">
      <c r="A126" s="32" t="s">
        <v>864</v>
      </c>
      <c r="B126" s="32" t="s">
        <v>177</v>
      </c>
      <c r="C126" s="32" t="s">
        <v>211</v>
      </c>
      <c r="D126" s="32" t="s">
        <v>206</v>
      </c>
      <c r="E126" s="32"/>
      <c r="F126" s="35">
        <v>4</v>
      </c>
      <c r="G126" s="34" t="s">
        <v>274</v>
      </c>
      <c r="H126" s="81">
        <f t="shared" ref="H126:H150" si="7">IF(J126&gt;0,J126,F126)</f>
        <v>4</v>
      </c>
      <c r="I126" s="39"/>
      <c r="J126" s="35"/>
      <c r="K126" s="63">
        <f t="shared" ref="K126:K150" si="8">IF(J126&gt;6, J126-6,0)</f>
        <v>0</v>
      </c>
      <c r="L126" s="32"/>
      <c r="M126" s="33"/>
      <c r="N126" s="40"/>
      <c r="O126" s="41"/>
      <c r="P126" s="32"/>
      <c r="Q126" s="32"/>
      <c r="R126" s="34"/>
      <c r="S126" s="39"/>
      <c r="T126" s="41"/>
      <c r="U126" s="65"/>
      <c r="V126" s="69"/>
      <c r="W126" s="80"/>
      <c r="X126" s="76"/>
      <c r="Y126" s="78"/>
      <c r="Z126" s="74"/>
      <c r="AA126" s="69"/>
      <c r="AB126" s="72"/>
    </row>
    <row r="127" spans="1:28" x14ac:dyDescent="0.25">
      <c r="A127" s="32" t="s">
        <v>865</v>
      </c>
      <c r="B127" s="32" t="s">
        <v>178</v>
      </c>
      <c r="C127" s="32" t="s">
        <v>210</v>
      </c>
      <c r="D127" s="32" t="s">
        <v>206</v>
      </c>
      <c r="E127" s="32"/>
      <c r="F127" s="35">
        <v>6.1999999999999886</v>
      </c>
      <c r="G127" s="34" t="s">
        <v>273</v>
      </c>
      <c r="H127" s="81">
        <f t="shared" si="7"/>
        <v>6.1999999999999886</v>
      </c>
      <c r="I127" s="39"/>
      <c r="J127" s="35"/>
      <c r="K127" s="63">
        <f t="shared" si="8"/>
        <v>0</v>
      </c>
      <c r="L127" s="32"/>
      <c r="M127" s="33"/>
      <c r="N127" s="40"/>
      <c r="O127" s="41"/>
      <c r="P127" s="32"/>
      <c r="Q127" s="32"/>
      <c r="R127" s="34"/>
      <c r="S127" s="39"/>
      <c r="T127" s="41"/>
      <c r="U127" s="65"/>
      <c r="V127" s="69"/>
      <c r="W127" s="80"/>
      <c r="X127" s="76"/>
      <c r="Y127" s="78"/>
      <c r="Z127" s="74"/>
      <c r="AA127" s="69"/>
      <c r="AB127" s="72"/>
    </row>
    <row r="128" spans="1:28" x14ac:dyDescent="0.25">
      <c r="A128" s="32" t="s">
        <v>866</v>
      </c>
      <c r="B128" s="32" t="s">
        <v>179</v>
      </c>
      <c r="C128" s="32" t="s">
        <v>210</v>
      </c>
      <c r="D128" s="32" t="s">
        <v>206</v>
      </c>
      <c r="E128" s="32"/>
      <c r="F128" s="35">
        <v>6.8999999999999773</v>
      </c>
      <c r="G128" s="34" t="s">
        <v>273</v>
      </c>
      <c r="H128" s="81">
        <f t="shared" si="7"/>
        <v>6.8999999999999773</v>
      </c>
      <c r="I128" s="39"/>
      <c r="J128" s="35"/>
      <c r="K128" s="63">
        <f t="shared" si="8"/>
        <v>0</v>
      </c>
      <c r="L128" s="32"/>
      <c r="M128" s="33"/>
      <c r="N128" s="40"/>
      <c r="O128" s="41"/>
      <c r="P128" s="32"/>
      <c r="Q128" s="32"/>
      <c r="R128" s="34"/>
      <c r="S128" s="39"/>
      <c r="T128" s="41"/>
      <c r="U128" s="65"/>
      <c r="V128" s="69"/>
      <c r="W128" s="80"/>
      <c r="X128" s="76"/>
      <c r="Y128" s="78"/>
      <c r="Z128" s="74"/>
      <c r="AA128" s="69"/>
      <c r="AB128" s="72"/>
    </row>
    <row r="129" spans="1:28" x14ac:dyDescent="0.25">
      <c r="A129" s="32" t="s">
        <v>867</v>
      </c>
      <c r="B129" s="32" t="s">
        <v>180</v>
      </c>
      <c r="C129" s="32" t="s">
        <v>211</v>
      </c>
      <c r="D129" s="32" t="s">
        <v>206</v>
      </c>
      <c r="E129" s="32"/>
      <c r="F129" s="35">
        <v>6.4399999999999977</v>
      </c>
      <c r="G129" s="34" t="s">
        <v>275</v>
      </c>
      <c r="H129" s="81">
        <f t="shared" si="7"/>
        <v>6.4399999999999977</v>
      </c>
      <c r="I129" s="39"/>
      <c r="J129" s="35"/>
      <c r="K129" s="63">
        <f t="shared" si="8"/>
        <v>0</v>
      </c>
      <c r="L129" s="32"/>
      <c r="M129" s="33"/>
      <c r="N129" s="40"/>
      <c r="O129" s="41"/>
      <c r="P129" s="32"/>
      <c r="Q129" s="32"/>
      <c r="R129" s="34"/>
      <c r="S129" s="39"/>
      <c r="T129" s="41"/>
      <c r="U129" s="65"/>
      <c r="V129" s="69"/>
      <c r="W129" s="80"/>
      <c r="X129" s="76"/>
      <c r="Y129" s="78"/>
      <c r="Z129" s="74"/>
      <c r="AA129" s="69"/>
      <c r="AB129" s="72"/>
    </row>
    <row r="130" spans="1:28" x14ac:dyDescent="0.25">
      <c r="A130" s="32" t="s">
        <v>868</v>
      </c>
      <c r="B130" s="32" t="s">
        <v>181</v>
      </c>
      <c r="C130" s="32" t="s">
        <v>211</v>
      </c>
      <c r="D130" s="32" t="s">
        <v>206</v>
      </c>
      <c r="E130" s="32"/>
      <c r="F130" s="35">
        <v>11.139999999999986</v>
      </c>
      <c r="G130" s="34" t="s">
        <v>276</v>
      </c>
      <c r="H130" s="81">
        <f t="shared" si="7"/>
        <v>11.139999999999986</v>
      </c>
      <c r="I130" s="39"/>
      <c r="J130" s="35"/>
      <c r="K130" s="63">
        <f t="shared" si="8"/>
        <v>0</v>
      </c>
      <c r="L130" s="32"/>
      <c r="M130" s="33"/>
      <c r="N130" s="40"/>
      <c r="O130" s="41"/>
      <c r="P130" s="32"/>
      <c r="Q130" s="32"/>
      <c r="R130" s="34"/>
      <c r="S130" s="39"/>
      <c r="T130" s="41"/>
      <c r="U130" s="65"/>
      <c r="V130" s="69"/>
      <c r="W130" s="80"/>
      <c r="X130" s="76"/>
      <c r="Y130" s="78"/>
      <c r="Z130" s="74"/>
      <c r="AA130" s="69"/>
      <c r="AB130" s="72"/>
    </row>
    <row r="131" spans="1:28" x14ac:dyDescent="0.25">
      <c r="A131" s="32" t="s">
        <v>869</v>
      </c>
      <c r="B131" s="32" t="s">
        <v>182</v>
      </c>
      <c r="C131" s="32" t="s">
        <v>211</v>
      </c>
      <c r="D131" s="32" t="s">
        <v>206</v>
      </c>
      <c r="E131" s="32"/>
      <c r="F131" s="35">
        <v>8.4000000000000341</v>
      </c>
      <c r="G131" s="34" t="s">
        <v>275</v>
      </c>
      <c r="H131" s="81">
        <f t="shared" si="7"/>
        <v>8.4000000000000341</v>
      </c>
      <c r="I131" s="39"/>
      <c r="J131" s="35"/>
      <c r="K131" s="63">
        <f t="shared" si="8"/>
        <v>0</v>
      </c>
      <c r="L131" s="32"/>
      <c r="M131" s="33"/>
      <c r="N131" s="40"/>
      <c r="O131" s="41"/>
      <c r="P131" s="32"/>
      <c r="Q131" s="32"/>
      <c r="R131" s="34"/>
      <c r="S131" s="39"/>
      <c r="T131" s="41"/>
      <c r="U131" s="65"/>
      <c r="V131" s="69"/>
      <c r="W131" s="80"/>
      <c r="X131" s="76"/>
      <c r="Y131" s="78"/>
      <c r="Z131" s="74"/>
      <c r="AA131" s="69"/>
      <c r="AB131" s="72"/>
    </row>
    <row r="132" spans="1:28" x14ac:dyDescent="0.25">
      <c r="A132" s="32" t="s">
        <v>870</v>
      </c>
      <c r="B132" s="32" t="s">
        <v>183</v>
      </c>
      <c r="C132" s="32" t="s">
        <v>212</v>
      </c>
      <c r="D132" s="32" t="s">
        <v>206</v>
      </c>
      <c r="E132" s="32"/>
      <c r="F132" s="35">
        <v>7.2700000000000387</v>
      </c>
      <c r="G132" s="34" t="s">
        <v>273</v>
      </c>
      <c r="H132" s="81">
        <f t="shared" si="7"/>
        <v>7.2700000000000387</v>
      </c>
      <c r="I132" s="39"/>
      <c r="J132" s="35"/>
      <c r="K132" s="63">
        <f t="shared" si="8"/>
        <v>0</v>
      </c>
      <c r="L132" s="32"/>
      <c r="M132" s="33"/>
      <c r="N132" s="40"/>
      <c r="O132" s="41"/>
      <c r="P132" s="32"/>
      <c r="Q132" s="32"/>
      <c r="R132" s="34"/>
      <c r="S132" s="39"/>
      <c r="T132" s="41"/>
      <c r="U132" s="65"/>
      <c r="V132" s="69"/>
      <c r="W132" s="80"/>
      <c r="X132" s="76"/>
      <c r="Y132" s="78"/>
      <c r="Z132" s="74"/>
      <c r="AA132" s="69"/>
      <c r="AB132" s="72"/>
    </row>
    <row r="133" spans="1:28" x14ac:dyDescent="0.25">
      <c r="A133" s="32" t="s">
        <v>871</v>
      </c>
      <c r="B133" s="32" t="s">
        <v>184</v>
      </c>
      <c r="C133" s="32" t="s">
        <v>211</v>
      </c>
      <c r="D133" s="32" t="s">
        <v>206</v>
      </c>
      <c r="E133" s="32"/>
      <c r="F133" s="35">
        <v>6.9399999999999977</v>
      </c>
      <c r="G133" s="34" t="s">
        <v>275</v>
      </c>
      <c r="H133" s="81">
        <f t="shared" si="7"/>
        <v>6.9399999999999977</v>
      </c>
      <c r="I133" s="39"/>
      <c r="J133" s="35"/>
      <c r="K133" s="63">
        <f t="shared" si="8"/>
        <v>0</v>
      </c>
      <c r="L133" s="32"/>
      <c r="M133" s="33"/>
      <c r="N133" s="40"/>
      <c r="O133" s="41"/>
      <c r="P133" s="32"/>
      <c r="Q133" s="32"/>
      <c r="R133" s="34"/>
      <c r="S133" s="39"/>
      <c r="T133" s="41"/>
      <c r="U133" s="65"/>
      <c r="V133" s="69"/>
      <c r="W133" s="80"/>
      <c r="X133" s="76"/>
      <c r="Y133" s="78"/>
      <c r="Z133" s="74"/>
      <c r="AA133" s="69"/>
      <c r="AB133" s="72"/>
    </row>
    <row r="134" spans="1:28" x14ac:dyDescent="0.25">
      <c r="A134" s="32" t="s">
        <v>872</v>
      </c>
      <c r="B134" s="32" t="s">
        <v>185</v>
      </c>
      <c r="C134" s="32" t="s">
        <v>211</v>
      </c>
      <c r="D134" s="32" t="s">
        <v>206</v>
      </c>
      <c r="E134" s="32"/>
      <c r="F134" s="35">
        <v>10.340000000000032</v>
      </c>
      <c r="G134" s="34" t="s">
        <v>273</v>
      </c>
      <c r="H134" s="81">
        <f t="shared" si="7"/>
        <v>10.340000000000032</v>
      </c>
      <c r="I134" s="39"/>
      <c r="J134" s="35"/>
      <c r="K134" s="63">
        <f t="shared" si="8"/>
        <v>0</v>
      </c>
      <c r="L134" s="32"/>
      <c r="M134" s="33"/>
      <c r="N134" s="40"/>
      <c r="O134" s="41"/>
      <c r="P134" s="32"/>
      <c r="Q134" s="32"/>
      <c r="R134" s="34"/>
      <c r="S134" s="39" t="s">
        <v>282</v>
      </c>
      <c r="T134" s="41"/>
      <c r="U134" s="65"/>
      <c r="V134" s="69"/>
      <c r="W134" s="80"/>
      <c r="X134" s="76"/>
      <c r="Y134" s="78"/>
      <c r="Z134" s="74"/>
      <c r="AA134" s="69"/>
      <c r="AB134" s="72"/>
    </row>
    <row r="135" spans="1:28" x14ac:dyDescent="0.25">
      <c r="A135" s="32" t="s">
        <v>873</v>
      </c>
      <c r="B135" s="32" t="s">
        <v>186</v>
      </c>
      <c r="C135" s="32" t="s">
        <v>210</v>
      </c>
      <c r="D135" s="32" t="s">
        <v>206</v>
      </c>
      <c r="E135" s="32"/>
      <c r="F135" s="35">
        <v>6.9599999999999795</v>
      </c>
      <c r="G135" s="34" t="s">
        <v>273</v>
      </c>
      <c r="H135" s="81">
        <f t="shared" si="7"/>
        <v>6.9599999999999795</v>
      </c>
      <c r="I135" s="39"/>
      <c r="J135" s="35"/>
      <c r="K135" s="63">
        <f t="shared" si="8"/>
        <v>0</v>
      </c>
      <c r="L135" s="32"/>
      <c r="M135" s="33"/>
      <c r="N135" s="40"/>
      <c r="O135" s="41"/>
      <c r="P135" s="32"/>
      <c r="Q135" s="32"/>
      <c r="R135" s="34"/>
      <c r="S135" s="39"/>
      <c r="T135" s="41"/>
      <c r="U135" s="65"/>
      <c r="V135" s="69"/>
      <c r="W135" s="80"/>
      <c r="X135" s="76"/>
      <c r="Y135" s="78"/>
      <c r="Z135" s="74"/>
      <c r="AA135" s="69"/>
      <c r="AB135" s="72"/>
    </row>
    <row r="136" spans="1:28" x14ac:dyDescent="0.25">
      <c r="A136" s="32" t="s">
        <v>874</v>
      </c>
      <c r="B136" s="32" t="s">
        <v>187</v>
      </c>
      <c r="C136" s="32" t="s">
        <v>210</v>
      </c>
      <c r="D136" s="32" t="s">
        <v>206</v>
      </c>
      <c r="E136" s="32"/>
      <c r="F136" s="35">
        <v>4.2000000000000455</v>
      </c>
      <c r="G136" s="34" t="s">
        <v>273</v>
      </c>
      <c r="H136" s="81">
        <f t="shared" si="7"/>
        <v>4.2000000000000455</v>
      </c>
      <c r="I136" s="39"/>
      <c r="J136" s="35"/>
      <c r="K136" s="63">
        <f t="shared" si="8"/>
        <v>0</v>
      </c>
      <c r="L136" s="32"/>
      <c r="M136" s="33"/>
      <c r="N136" s="40"/>
      <c r="O136" s="41"/>
      <c r="P136" s="32"/>
      <c r="Q136" s="32"/>
      <c r="R136" s="34"/>
      <c r="S136" s="39"/>
      <c r="T136" s="41"/>
      <c r="U136" s="65"/>
      <c r="V136" s="69"/>
      <c r="W136" s="80"/>
      <c r="X136" s="76"/>
      <c r="Y136" s="78"/>
      <c r="Z136" s="74"/>
      <c r="AA136" s="69"/>
      <c r="AB136" s="72"/>
    </row>
    <row r="137" spans="1:28" x14ac:dyDescent="0.25">
      <c r="A137" s="32" t="s">
        <v>875</v>
      </c>
      <c r="B137" s="32" t="s">
        <v>188</v>
      </c>
      <c r="C137" s="32" t="s">
        <v>210</v>
      </c>
      <c r="D137" s="32" t="s">
        <v>206</v>
      </c>
      <c r="E137" s="32"/>
      <c r="F137" s="35">
        <v>6.5900000000000318</v>
      </c>
      <c r="G137" s="34" t="s">
        <v>273</v>
      </c>
      <c r="H137" s="81">
        <f t="shared" si="7"/>
        <v>6.5900000000000318</v>
      </c>
      <c r="I137" s="39"/>
      <c r="J137" s="35"/>
      <c r="K137" s="63">
        <f t="shared" si="8"/>
        <v>0</v>
      </c>
      <c r="L137" s="32"/>
      <c r="M137" s="33"/>
      <c r="N137" s="40"/>
      <c r="O137" s="41"/>
      <c r="P137" s="32"/>
      <c r="Q137" s="32"/>
      <c r="R137" s="34"/>
      <c r="S137" s="39" t="s">
        <v>283</v>
      </c>
      <c r="T137" s="41"/>
      <c r="U137" s="65"/>
      <c r="V137" s="69"/>
      <c r="W137" s="80"/>
      <c r="X137" s="76"/>
      <c r="Y137" s="78"/>
      <c r="Z137" s="74"/>
      <c r="AA137" s="69"/>
      <c r="AB137" s="72"/>
    </row>
    <row r="138" spans="1:28" x14ac:dyDescent="0.25">
      <c r="A138" s="32" t="s">
        <v>876</v>
      </c>
      <c r="B138" s="32" t="s">
        <v>189</v>
      </c>
      <c r="C138" s="32" t="s">
        <v>211</v>
      </c>
      <c r="D138" s="32" t="s">
        <v>206</v>
      </c>
      <c r="E138" s="32"/>
      <c r="F138" s="35">
        <v>15.399999999999977</v>
      </c>
      <c r="G138" s="34" t="s">
        <v>277</v>
      </c>
      <c r="H138" s="81">
        <f t="shared" si="7"/>
        <v>15.399999999999977</v>
      </c>
      <c r="I138" s="39"/>
      <c r="J138" s="35"/>
      <c r="K138" s="63">
        <f t="shared" si="8"/>
        <v>0</v>
      </c>
      <c r="L138" s="32"/>
      <c r="M138" s="33"/>
      <c r="N138" s="40"/>
      <c r="O138" s="41"/>
      <c r="P138" s="32"/>
      <c r="Q138" s="32"/>
      <c r="R138" s="34"/>
      <c r="S138" s="39" t="s">
        <v>282</v>
      </c>
      <c r="T138" s="41"/>
      <c r="U138" s="65"/>
      <c r="V138" s="69"/>
      <c r="W138" s="80"/>
      <c r="X138" s="76"/>
      <c r="Y138" s="78"/>
      <c r="Z138" s="74"/>
      <c r="AA138" s="69"/>
      <c r="AB138" s="72"/>
    </row>
    <row r="139" spans="1:28" ht="30" x14ac:dyDescent="0.25">
      <c r="A139" s="32" t="s">
        <v>877</v>
      </c>
      <c r="B139" s="32" t="s">
        <v>190</v>
      </c>
      <c r="C139" s="32" t="s">
        <v>214</v>
      </c>
      <c r="D139" s="32" t="s">
        <v>206</v>
      </c>
      <c r="E139" s="32"/>
      <c r="F139" s="35">
        <v>3.1499999999999773</v>
      </c>
      <c r="G139" s="34" t="s">
        <v>278</v>
      </c>
      <c r="H139" s="81">
        <f t="shared" si="7"/>
        <v>3.1499999999999773</v>
      </c>
      <c r="I139" s="39"/>
      <c r="J139" s="35"/>
      <c r="K139" s="63">
        <f t="shared" si="8"/>
        <v>0</v>
      </c>
      <c r="L139" s="32"/>
      <c r="M139" s="33"/>
      <c r="N139" s="40"/>
      <c r="O139" s="41"/>
      <c r="P139" s="32"/>
      <c r="Q139" s="32"/>
      <c r="R139" s="34"/>
      <c r="S139" s="39" t="s">
        <v>284</v>
      </c>
      <c r="T139" s="41"/>
      <c r="U139" s="65"/>
      <c r="V139" s="69"/>
      <c r="W139" s="80"/>
      <c r="X139" s="76"/>
      <c r="Y139" s="78"/>
      <c r="Z139" s="74"/>
      <c r="AA139" s="69"/>
      <c r="AB139" s="72"/>
    </row>
    <row r="140" spans="1:28" x14ac:dyDescent="0.25">
      <c r="A140" s="32" t="s">
        <v>878</v>
      </c>
      <c r="B140" s="32" t="s">
        <v>191</v>
      </c>
      <c r="C140" s="32" t="s">
        <v>272</v>
      </c>
      <c r="D140" s="32" t="s">
        <v>206</v>
      </c>
      <c r="E140" s="32"/>
      <c r="F140" s="35">
        <v>5.3600000000000136</v>
      </c>
      <c r="G140" s="34" t="s">
        <v>273</v>
      </c>
      <c r="H140" s="81">
        <f t="shared" si="7"/>
        <v>5.3600000000000136</v>
      </c>
      <c r="I140" s="39"/>
      <c r="J140" s="35"/>
      <c r="K140" s="63">
        <f t="shared" si="8"/>
        <v>0</v>
      </c>
      <c r="L140" s="32"/>
      <c r="M140" s="33"/>
      <c r="N140" s="40"/>
      <c r="O140" s="41"/>
      <c r="P140" s="32"/>
      <c r="Q140" s="32"/>
      <c r="R140" s="34"/>
      <c r="S140" s="39"/>
      <c r="T140" s="41"/>
      <c r="U140" s="65"/>
      <c r="V140" s="69"/>
      <c r="W140" s="80"/>
      <c r="X140" s="76"/>
      <c r="Y140" s="78"/>
      <c r="Z140" s="74"/>
      <c r="AA140" s="69"/>
      <c r="AB140" s="72"/>
    </row>
    <row r="141" spans="1:28" x14ac:dyDescent="0.25">
      <c r="A141" s="32" t="s">
        <v>879</v>
      </c>
      <c r="B141" s="32" t="s">
        <v>260</v>
      </c>
      <c r="C141" s="32" t="s">
        <v>213</v>
      </c>
      <c r="D141" s="32" t="s">
        <v>206</v>
      </c>
      <c r="E141" s="32"/>
      <c r="F141" s="35">
        <v>3.0600000000000023</v>
      </c>
      <c r="G141" s="34" t="s">
        <v>273</v>
      </c>
      <c r="H141" s="81">
        <f t="shared" si="7"/>
        <v>3.0600000000000023</v>
      </c>
      <c r="I141" s="39"/>
      <c r="J141" s="35"/>
      <c r="K141" s="63">
        <f t="shared" si="8"/>
        <v>0</v>
      </c>
      <c r="L141" s="32"/>
      <c r="M141" s="33"/>
      <c r="N141" s="40"/>
      <c r="O141" s="41"/>
      <c r="P141" s="32"/>
      <c r="Q141" s="32"/>
      <c r="R141" s="34"/>
      <c r="S141" s="39"/>
      <c r="T141" s="41"/>
      <c r="U141" s="65"/>
      <c r="V141" s="69"/>
      <c r="W141" s="80"/>
      <c r="X141" s="76"/>
      <c r="Y141" s="78"/>
      <c r="Z141" s="74"/>
      <c r="AA141" s="69"/>
      <c r="AB141" s="72"/>
    </row>
    <row r="142" spans="1:28" x14ac:dyDescent="0.25">
      <c r="A142" s="32" t="s">
        <v>880</v>
      </c>
      <c r="B142" s="32" t="s">
        <v>262</v>
      </c>
      <c r="C142" s="32" t="s">
        <v>214</v>
      </c>
      <c r="D142" s="32" t="s">
        <v>206</v>
      </c>
      <c r="E142" s="32"/>
      <c r="F142" s="35">
        <v>4.8400000000000318</v>
      </c>
      <c r="G142" s="34" t="s">
        <v>274</v>
      </c>
      <c r="H142" s="81">
        <f t="shared" si="7"/>
        <v>4.8400000000000318</v>
      </c>
      <c r="I142" s="39"/>
      <c r="J142" s="35"/>
      <c r="K142" s="63">
        <f t="shared" si="8"/>
        <v>0</v>
      </c>
      <c r="L142" s="32"/>
      <c r="M142" s="33"/>
      <c r="N142" s="40"/>
      <c r="O142" s="41"/>
      <c r="P142" s="32"/>
      <c r="Q142" s="32"/>
      <c r="R142" s="34"/>
      <c r="S142" s="39"/>
      <c r="T142" s="41"/>
      <c r="U142" s="65"/>
      <c r="V142" s="69"/>
      <c r="W142" s="80"/>
      <c r="X142" s="76"/>
      <c r="Y142" s="78"/>
      <c r="Z142" s="74"/>
      <c r="AA142" s="69"/>
      <c r="AB142" s="72"/>
    </row>
    <row r="143" spans="1:28" x14ac:dyDescent="0.25">
      <c r="A143" s="32" t="s">
        <v>881</v>
      </c>
      <c r="B143" s="32" t="s">
        <v>193</v>
      </c>
      <c r="C143" s="32" t="s">
        <v>214</v>
      </c>
      <c r="D143" s="32" t="s">
        <v>208</v>
      </c>
      <c r="E143" s="32"/>
      <c r="F143" s="35">
        <v>11.660000000000025</v>
      </c>
      <c r="G143" s="34" t="s">
        <v>277</v>
      </c>
      <c r="H143" s="81">
        <f t="shared" si="7"/>
        <v>11.660000000000025</v>
      </c>
      <c r="I143" s="39"/>
      <c r="J143" s="35"/>
      <c r="K143" s="63">
        <f t="shared" si="8"/>
        <v>0</v>
      </c>
      <c r="L143" s="32"/>
      <c r="M143" s="33"/>
      <c r="N143" s="40"/>
      <c r="O143" s="41"/>
      <c r="P143" s="32"/>
      <c r="Q143" s="32"/>
      <c r="R143" s="34"/>
      <c r="S143" s="39" t="s">
        <v>282</v>
      </c>
      <c r="T143" s="41"/>
      <c r="U143" s="65"/>
      <c r="V143" s="69"/>
      <c r="W143" s="80"/>
      <c r="X143" s="76"/>
      <c r="Y143" s="78"/>
      <c r="Z143" s="74"/>
      <c r="AA143" s="69"/>
      <c r="AB143" s="72"/>
    </row>
    <row r="144" spans="1:28" x14ac:dyDescent="0.25">
      <c r="A144" s="32" t="s">
        <v>882</v>
      </c>
      <c r="B144" s="32" t="s">
        <v>196</v>
      </c>
      <c r="C144" s="32" t="s">
        <v>214</v>
      </c>
      <c r="D144" s="32" t="s">
        <v>208</v>
      </c>
      <c r="E144" s="32"/>
      <c r="F144" s="35">
        <v>3.5500000000000114</v>
      </c>
      <c r="G144" s="34" t="s">
        <v>273</v>
      </c>
      <c r="H144" s="81">
        <f t="shared" si="7"/>
        <v>3.5500000000000114</v>
      </c>
      <c r="I144" s="39"/>
      <c r="J144" s="35"/>
      <c r="K144" s="63">
        <f t="shared" si="8"/>
        <v>0</v>
      </c>
      <c r="L144" s="32"/>
      <c r="M144" s="33"/>
      <c r="N144" s="40"/>
      <c r="O144" s="41"/>
      <c r="P144" s="32"/>
      <c r="Q144" s="32"/>
      <c r="R144" s="34"/>
      <c r="S144" s="39"/>
      <c r="T144" s="41"/>
      <c r="U144" s="65"/>
      <c r="V144" s="69"/>
      <c r="W144" s="80"/>
      <c r="X144" s="76"/>
      <c r="Y144" s="78"/>
      <c r="Z144" s="74"/>
      <c r="AA144" s="69"/>
      <c r="AB144" s="72"/>
    </row>
    <row r="145" spans="1:28" x14ac:dyDescent="0.25">
      <c r="A145" s="32" t="s">
        <v>883</v>
      </c>
      <c r="B145" s="32" t="s">
        <v>195</v>
      </c>
      <c r="C145" s="32" t="s">
        <v>214</v>
      </c>
      <c r="D145" s="32" t="s">
        <v>208</v>
      </c>
      <c r="E145" s="32"/>
      <c r="F145" s="35">
        <v>4.1999999999999886</v>
      </c>
      <c r="G145" s="34" t="s">
        <v>273</v>
      </c>
      <c r="H145" s="81">
        <f t="shared" si="7"/>
        <v>4.1999999999999886</v>
      </c>
      <c r="I145" s="39"/>
      <c r="J145" s="35"/>
      <c r="K145" s="63">
        <f t="shared" si="8"/>
        <v>0</v>
      </c>
      <c r="L145" s="32"/>
      <c r="M145" s="33"/>
      <c r="N145" s="40"/>
      <c r="O145" s="41"/>
      <c r="P145" s="32"/>
      <c r="Q145" s="32"/>
      <c r="R145" s="34"/>
      <c r="S145" s="39"/>
      <c r="T145" s="41"/>
      <c r="U145" s="65"/>
      <c r="V145" s="69"/>
      <c r="W145" s="80"/>
      <c r="X145" s="76"/>
      <c r="Y145" s="78"/>
      <c r="Z145" s="74"/>
      <c r="AA145" s="69"/>
      <c r="AB145" s="72"/>
    </row>
    <row r="146" spans="1:28" ht="45" x14ac:dyDescent="0.25">
      <c r="A146" s="32" t="s">
        <v>884</v>
      </c>
      <c r="B146" s="32" t="s">
        <v>197</v>
      </c>
      <c r="C146" s="32" t="s">
        <v>214</v>
      </c>
      <c r="D146" s="32" t="s">
        <v>208</v>
      </c>
      <c r="E146" s="32"/>
      <c r="F146" s="35">
        <v>4.75</v>
      </c>
      <c r="G146" s="34" t="s">
        <v>279</v>
      </c>
      <c r="H146" s="81">
        <f t="shared" si="7"/>
        <v>4.75</v>
      </c>
      <c r="I146" s="39"/>
      <c r="J146" s="35"/>
      <c r="K146" s="63">
        <f t="shared" si="8"/>
        <v>0</v>
      </c>
      <c r="L146" s="32"/>
      <c r="M146" s="33"/>
      <c r="N146" s="40"/>
      <c r="O146" s="41"/>
      <c r="P146" s="32"/>
      <c r="Q146" s="32"/>
      <c r="R146" s="34"/>
      <c r="S146" s="39" t="s">
        <v>285</v>
      </c>
      <c r="T146" s="41"/>
      <c r="U146" s="65"/>
      <c r="V146" s="69"/>
      <c r="W146" s="80"/>
      <c r="X146" s="76"/>
      <c r="Y146" s="78"/>
      <c r="Z146" s="74"/>
      <c r="AA146" s="69"/>
      <c r="AB146" s="72"/>
    </row>
    <row r="147" spans="1:28" ht="45" x14ac:dyDescent="0.25">
      <c r="A147" s="32" t="s">
        <v>885</v>
      </c>
      <c r="B147" s="32" t="s">
        <v>198</v>
      </c>
      <c r="C147" s="32" t="s">
        <v>214</v>
      </c>
      <c r="D147" s="32" t="s">
        <v>208</v>
      </c>
      <c r="E147" s="32"/>
      <c r="F147" s="35">
        <v>4.0500000000000682</v>
      </c>
      <c r="G147" s="34" t="s">
        <v>273</v>
      </c>
      <c r="H147" s="81">
        <f t="shared" si="7"/>
        <v>4.0500000000000682</v>
      </c>
      <c r="I147" s="39"/>
      <c r="J147" s="35"/>
      <c r="K147" s="63">
        <f t="shared" si="8"/>
        <v>0</v>
      </c>
      <c r="L147" s="32"/>
      <c r="M147" s="33"/>
      <c r="N147" s="40"/>
      <c r="O147" s="41"/>
      <c r="P147" s="32"/>
      <c r="Q147" s="32"/>
      <c r="R147" s="34"/>
      <c r="S147" s="39" t="s">
        <v>286</v>
      </c>
      <c r="T147" s="41"/>
      <c r="U147" s="65"/>
      <c r="V147" s="69"/>
      <c r="W147" s="80"/>
      <c r="X147" s="76"/>
      <c r="Y147" s="78"/>
      <c r="Z147" s="74"/>
      <c r="AA147" s="69"/>
      <c r="AB147" s="72"/>
    </row>
    <row r="148" spans="1:28" x14ac:dyDescent="0.25">
      <c r="A148" s="32" t="s">
        <v>886</v>
      </c>
      <c r="B148" s="32" t="s">
        <v>199</v>
      </c>
      <c r="C148" s="32" t="s">
        <v>214</v>
      </c>
      <c r="D148" s="32" t="s">
        <v>208</v>
      </c>
      <c r="E148" s="32"/>
      <c r="F148" s="35">
        <v>5.8500000000000227</v>
      </c>
      <c r="G148" s="34" t="s">
        <v>273</v>
      </c>
      <c r="H148" s="81">
        <f t="shared" si="7"/>
        <v>5.8500000000000227</v>
      </c>
      <c r="I148" s="39"/>
      <c r="J148" s="35"/>
      <c r="K148" s="63">
        <f t="shared" si="8"/>
        <v>0</v>
      </c>
      <c r="L148" s="32"/>
      <c r="M148" s="33"/>
      <c r="N148" s="40"/>
      <c r="O148" s="41"/>
      <c r="P148" s="32"/>
      <c r="Q148" s="32"/>
      <c r="R148" s="34"/>
      <c r="S148" s="39"/>
      <c r="T148" s="41"/>
      <c r="U148" s="65"/>
      <c r="V148" s="69"/>
      <c r="W148" s="80"/>
      <c r="X148" s="76"/>
      <c r="Y148" s="78"/>
      <c r="Z148" s="74"/>
      <c r="AA148" s="69"/>
      <c r="AB148" s="72"/>
    </row>
    <row r="149" spans="1:28" x14ac:dyDescent="0.25">
      <c r="A149" s="32" t="s">
        <v>887</v>
      </c>
      <c r="B149" s="32" t="s">
        <v>200</v>
      </c>
      <c r="C149" s="32" t="s">
        <v>214</v>
      </c>
      <c r="D149" s="32" t="s">
        <v>208</v>
      </c>
      <c r="E149" s="32"/>
      <c r="F149" s="35">
        <v>4.5</v>
      </c>
      <c r="G149" s="34" t="s">
        <v>280</v>
      </c>
      <c r="H149" s="81">
        <f t="shared" si="7"/>
        <v>4.5</v>
      </c>
      <c r="I149" s="39"/>
      <c r="J149" s="35"/>
      <c r="K149" s="63">
        <f t="shared" si="8"/>
        <v>0</v>
      </c>
      <c r="L149" s="32"/>
      <c r="M149" s="33"/>
      <c r="N149" s="40"/>
      <c r="O149" s="41"/>
      <c r="P149" s="32"/>
      <c r="Q149" s="32"/>
      <c r="R149" s="34"/>
      <c r="S149" s="39"/>
      <c r="T149" s="41"/>
      <c r="U149" s="65"/>
      <c r="V149" s="69"/>
      <c r="W149" s="80"/>
      <c r="X149" s="76"/>
      <c r="Y149" s="78"/>
      <c r="Z149" s="74"/>
      <c r="AA149" s="69"/>
      <c r="AB149" s="72"/>
    </row>
    <row r="150" spans="1:28" x14ac:dyDescent="0.25">
      <c r="A150" s="32" t="s">
        <v>888</v>
      </c>
      <c r="B150" s="32" t="s">
        <v>201</v>
      </c>
      <c r="C150" s="32" t="s">
        <v>214</v>
      </c>
      <c r="D150" s="32" t="s">
        <v>208</v>
      </c>
      <c r="E150" s="32"/>
      <c r="F150" s="35">
        <v>7.3500000000000227</v>
      </c>
      <c r="G150" s="34" t="s">
        <v>273</v>
      </c>
      <c r="H150" s="81">
        <f t="shared" si="7"/>
        <v>7.3500000000000227</v>
      </c>
      <c r="I150" s="39"/>
      <c r="J150" s="35"/>
      <c r="K150" s="63">
        <f t="shared" si="8"/>
        <v>0</v>
      </c>
      <c r="L150" s="32"/>
      <c r="M150" s="33"/>
      <c r="N150" s="40"/>
      <c r="O150" s="41"/>
      <c r="P150" s="32"/>
      <c r="Q150" s="32"/>
      <c r="R150" s="34"/>
      <c r="S150" s="39"/>
      <c r="T150" s="41"/>
      <c r="U150" s="65"/>
      <c r="V150" s="69"/>
      <c r="W150" s="80"/>
      <c r="X150" s="76"/>
      <c r="Y150" s="78"/>
      <c r="Z150" s="74"/>
      <c r="AA150" s="69"/>
      <c r="AB150" s="72"/>
    </row>
    <row r="151" spans="1:28" x14ac:dyDescent="0.25">
      <c r="A151" s="32" t="s">
        <v>889</v>
      </c>
      <c r="B151" s="32" t="s">
        <v>203</v>
      </c>
      <c r="C151" s="32" t="s">
        <v>214</v>
      </c>
      <c r="D151" s="32" t="s">
        <v>208</v>
      </c>
      <c r="E151" s="32"/>
      <c r="F151" s="35">
        <v>4.0600000000000591</v>
      </c>
      <c r="G151" s="34" t="s">
        <v>273</v>
      </c>
      <c r="H151" s="81">
        <f t="shared" ref="H151:H155" si="9">IF(J151&gt;0,J151,F151)</f>
        <v>4.0600000000000591</v>
      </c>
      <c r="I151" s="39"/>
      <c r="J151" s="35"/>
      <c r="K151" s="63">
        <f t="shared" ref="K151:K155" si="10">IF(J151&gt;6, J151-6,0)</f>
        <v>0</v>
      </c>
      <c r="L151" s="32"/>
      <c r="M151" s="33"/>
      <c r="N151" s="40"/>
      <c r="O151" s="41"/>
      <c r="P151" s="32"/>
      <c r="Q151" s="32"/>
      <c r="R151" s="34"/>
      <c r="S151" s="39"/>
      <c r="T151" s="41"/>
      <c r="U151" s="65"/>
      <c r="V151" s="69"/>
      <c r="W151" s="80"/>
      <c r="X151" s="76"/>
      <c r="Y151" s="78"/>
      <c r="Z151" s="74"/>
      <c r="AA151" s="69"/>
      <c r="AB151" s="72"/>
    </row>
    <row r="152" spans="1:28" x14ac:dyDescent="0.25">
      <c r="A152" s="32" t="s">
        <v>890</v>
      </c>
      <c r="B152" s="32" t="s">
        <v>202</v>
      </c>
      <c r="C152" s="32" t="s">
        <v>214</v>
      </c>
      <c r="D152" s="32" t="s">
        <v>208</v>
      </c>
      <c r="E152" s="32"/>
      <c r="F152" s="35">
        <v>4.6200000000000045</v>
      </c>
      <c r="G152" s="34" t="s">
        <v>275</v>
      </c>
      <c r="H152" s="81">
        <f t="shared" si="9"/>
        <v>4.6200000000000045</v>
      </c>
      <c r="I152" s="39"/>
      <c r="J152" s="35"/>
      <c r="K152" s="63">
        <f t="shared" si="10"/>
        <v>0</v>
      </c>
      <c r="L152" s="32"/>
      <c r="M152" s="33"/>
      <c r="N152" s="40"/>
      <c r="O152" s="41"/>
      <c r="P152" s="32"/>
      <c r="Q152" s="32"/>
      <c r="R152" s="34"/>
      <c r="S152" s="39"/>
      <c r="T152" s="41"/>
      <c r="U152" s="65"/>
      <c r="V152" s="69"/>
      <c r="W152" s="80"/>
      <c r="X152" s="76"/>
      <c r="Y152" s="78"/>
      <c r="Z152" s="74"/>
      <c r="AA152" s="69"/>
      <c r="AB152" s="72"/>
    </row>
    <row r="153" spans="1:28" ht="30" x14ac:dyDescent="0.25">
      <c r="A153" s="32" t="s">
        <v>891</v>
      </c>
      <c r="B153" s="32" t="s">
        <v>205</v>
      </c>
      <c r="C153" s="32" t="s">
        <v>215</v>
      </c>
      <c r="D153" s="32" t="s">
        <v>216</v>
      </c>
      <c r="E153" s="32"/>
      <c r="F153" s="35">
        <v>6.3999999999999773</v>
      </c>
      <c r="G153" s="34" t="s">
        <v>273</v>
      </c>
      <c r="H153" s="81">
        <f t="shared" si="9"/>
        <v>6.3999999999999773</v>
      </c>
      <c r="I153" s="39"/>
      <c r="J153" s="35"/>
      <c r="K153" s="63">
        <f t="shared" si="10"/>
        <v>0</v>
      </c>
      <c r="L153" s="32"/>
      <c r="M153" s="33"/>
      <c r="N153" s="40"/>
      <c r="O153" s="41"/>
      <c r="P153" s="32"/>
      <c r="Q153" s="32"/>
      <c r="R153" s="34"/>
      <c r="S153" s="39"/>
      <c r="T153" s="41"/>
      <c r="U153" s="65"/>
      <c r="V153" s="69"/>
      <c r="W153" s="80"/>
      <c r="X153" s="76"/>
      <c r="Y153" s="78"/>
      <c r="Z153" s="74"/>
      <c r="AA153" s="69"/>
      <c r="AB153" s="72"/>
    </row>
    <row r="154" spans="1:28" ht="30" x14ac:dyDescent="0.25">
      <c r="A154" s="32" t="s">
        <v>892</v>
      </c>
      <c r="B154" s="32" t="s">
        <v>204</v>
      </c>
      <c r="C154" s="32" t="s">
        <v>215</v>
      </c>
      <c r="D154" s="32" t="s">
        <v>216</v>
      </c>
      <c r="E154" s="32"/>
      <c r="F154" s="35">
        <v>3.2200000000000273</v>
      </c>
      <c r="G154" s="34" t="s">
        <v>281</v>
      </c>
      <c r="H154" s="81">
        <f t="shared" si="9"/>
        <v>3.2200000000000273</v>
      </c>
      <c r="I154" s="39"/>
      <c r="J154" s="35"/>
      <c r="K154" s="63">
        <f t="shared" si="10"/>
        <v>0</v>
      </c>
      <c r="L154" s="32"/>
      <c r="M154" s="33"/>
      <c r="N154" s="40"/>
      <c r="O154" s="41"/>
      <c r="P154" s="32"/>
      <c r="Q154" s="32"/>
      <c r="R154" s="34"/>
      <c r="S154" s="39" t="s">
        <v>287</v>
      </c>
      <c r="T154" s="41"/>
      <c r="U154" s="65"/>
      <c r="V154" s="69"/>
      <c r="W154" s="80"/>
      <c r="X154" s="76"/>
      <c r="Y154" s="78"/>
      <c r="Z154" s="74"/>
      <c r="AA154" s="69"/>
      <c r="AB154" s="72"/>
    </row>
    <row r="155" spans="1:28" x14ac:dyDescent="0.25">
      <c r="A155" s="32"/>
      <c r="B155" s="32"/>
      <c r="C155" s="32"/>
      <c r="D155" s="32"/>
      <c r="E155" s="32"/>
      <c r="F155" s="35"/>
      <c r="G155" s="34"/>
      <c r="H155" s="81">
        <f t="shared" si="9"/>
        <v>0</v>
      </c>
      <c r="I155" s="39"/>
      <c r="J155" s="35"/>
      <c r="K155" s="63">
        <f t="shared" si="10"/>
        <v>0</v>
      </c>
      <c r="L155" s="32"/>
      <c r="M155" s="33"/>
      <c r="N155" s="40"/>
      <c r="O155" s="41"/>
      <c r="P155" s="32"/>
      <c r="Q155" s="32"/>
      <c r="R155" s="34"/>
      <c r="S155" s="39"/>
      <c r="T155" s="41"/>
      <c r="U155" s="65"/>
      <c r="V155" s="69"/>
      <c r="W155" s="80"/>
      <c r="X155" s="76"/>
      <c r="Y155" s="78"/>
      <c r="Z155" s="74"/>
      <c r="AA155" s="69"/>
      <c r="AB155" s="72"/>
    </row>
  </sheetData>
  <autoFilter ref="A3:AB113" xr:uid="{17847526-219F-4FAB-8F0F-DBADAAA411C7}"/>
  <mergeCells count="5">
    <mergeCell ref="A1:AB1"/>
    <mergeCell ref="A2:G2"/>
    <mergeCell ref="H2:N2"/>
    <mergeCell ref="O2:S2"/>
    <mergeCell ref="T2:AB2"/>
  </mergeCells>
  <phoneticPr fontId="4" type="noConversion"/>
  <dataValidations count="4">
    <dataValidation type="list" allowBlank="1" showInputMessage="1" showErrorMessage="1" sqref="L1:L1048576" xr:uid="{41878232-5F5D-4904-A3F3-08FF0720D106}">
      <formula1>"4, 5, 6"</formula1>
    </dataValidation>
    <dataValidation type="list" allowBlank="1" showInputMessage="1" showErrorMessage="1" sqref="R1:R1048576" xr:uid="{FB8B3E71-8B76-4DBF-8E13-3A4448DF7BC9}">
      <formula1>"Pass, Fail"</formula1>
    </dataValidation>
    <dataValidation type="list" allowBlank="1" showInputMessage="1" showErrorMessage="1" sqref="I1:I1048576" xr:uid="{2AA0A839-6395-4623-AA67-8FF0B1A3E5C3}">
      <formula1>"Cement, Epoxy, Casting"</formula1>
    </dataValidation>
    <dataValidation type="list" allowBlank="1" showInputMessage="1" showErrorMessage="1" sqref="U1:U1048576" xr:uid="{3217FBD4-0553-4C45-A30B-01088CBC2639}">
      <formula1>"Standard, Watertight"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44FBC-C295-47D0-93EF-B122B8E7C29E}">
  <dimension ref="A1:AC23"/>
  <sheetViews>
    <sheetView topLeftCell="E1" workbookViewId="0">
      <selection activeCell="AA30" sqref="AA30"/>
    </sheetView>
  </sheetViews>
  <sheetFormatPr defaultColWidth="9.140625" defaultRowHeight="15" x14ac:dyDescent="0.25"/>
  <cols>
    <col min="1" max="2" width="9.140625" style="24"/>
    <col min="3" max="4" width="12" style="24" customWidth="1"/>
    <col min="5" max="5" width="11.140625" style="24" customWidth="1"/>
    <col min="6" max="7" width="9.140625" style="24"/>
    <col min="8" max="8" width="18.28515625" style="24" customWidth="1"/>
    <col min="9" max="11" width="9.140625" style="24"/>
    <col min="12" max="13" width="9.140625" style="59"/>
    <col min="14" max="14" width="10.5703125" style="24" customWidth="1"/>
    <col min="15" max="15" width="11.85546875" style="29" customWidth="1"/>
    <col min="16" max="16" width="10.7109375" style="24" customWidth="1"/>
    <col min="17" max="17" width="10.85546875" style="29" customWidth="1"/>
    <col min="18" max="18" width="10.28515625" style="24" customWidth="1"/>
    <col min="19" max="19" width="10.5703125" style="29" customWidth="1"/>
    <col min="20" max="20" width="10.5703125" style="24" customWidth="1"/>
    <col min="21" max="21" width="13.5703125" style="24" customWidth="1"/>
    <col min="22" max="22" width="9.140625" style="29"/>
    <col min="23" max="25" width="9.140625" style="24"/>
    <col min="26" max="26" width="10.42578125" style="24" customWidth="1"/>
    <col min="27" max="27" width="9.140625" style="24"/>
    <col min="28" max="28" width="0" style="24" hidden="1" customWidth="1"/>
    <col min="29" max="29" width="18.28515625" style="24" customWidth="1"/>
    <col min="30" max="16384" width="9.140625" style="24"/>
  </cols>
  <sheetData>
    <row r="1" spans="1:29" x14ac:dyDescent="0.25">
      <c r="A1" s="243" t="s">
        <v>103</v>
      </c>
      <c r="B1" s="244"/>
      <c r="C1" s="244"/>
      <c r="D1" s="244"/>
      <c r="E1" s="244"/>
      <c r="F1" s="244"/>
      <c r="G1" s="244"/>
      <c r="H1" s="244"/>
      <c r="I1" s="244"/>
      <c r="J1" s="244"/>
      <c r="K1" s="244"/>
      <c r="L1" s="244"/>
      <c r="M1" s="244"/>
      <c r="N1" s="244"/>
      <c r="O1" s="244"/>
      <c r="P1" s="244"/>
      <c r="Q1" s="244"/>
      <c r="R1" s="244"/>
      <c r="S1" s="244"/>
      <c r="T1" s="244"/>
      <c r="U1" s="244"/>
      <c r="V1" s="244"/>
      <c r="W1" s="244"/>
      <c r="X1" s="244"/>
      <c r="Y1" s="244"/>
      <c r="Z1" s="244"/>
      <c r="AA1" s="244"/>
      <c r="AB1" s="244"/>
      <c r="AC1" s="262"/>
    </row>
    <row r="2" spans="1:29" ht="15" customHeight="1" x14ac:dyDescent="0.25">
      <c r="A2" s="243" t="s">
        <v>1</v>
      </c>
      <c r="B2" s="244"/>
      <c r="C2" s="244"/>
      <c r="D2" s="244"/>
      <c r="E2" s="244"/>
      <c r="F2" s="244"/>
      <c r="G2" s="244"/>
      <c r="H2" s="244"/>
      <c r="I2" s="260" t="s">
        <v>104</v>
      </c>
      <c r="J2" s="244"/>
      <c r="K2" s="244"/>
      <c r="L2" s="260" t="s">
        <v>130</v>
      </c>
      <c r="M2" s="244"/>
      <c r="N2" s="245"/>
      <c r="O2" s="244" t="s">
        <v>105</v>
      </c>
      <c r="P2" s="244"/>
      <c r="Q2" s="244"/>
      <c r="R2" s="244"/>
      <c r="S2" s="244"/>
      <c r="T2" s="244"/>
      <c r="U2" s="245"/>
      <c r="V2" s="260" t="s">
        <v>106</v>
      </c>
      <c r="W2" s="244"/>
      <c r="X2" s="244"/>
      <c r="Y2" s="244"/>
      <c r="Z2" s="244"/>
      <c r="AA2" s="245"/>
      <c r="AB2" s="48"/>
      <c r="AC2" s="23"/>
    </row>
    <row r="3" spans="1:29" ht="40.5" x14ac:dyDescent="0.25">
      <c r="A3" s="1" t="s">
        <v>37</v>
      </c>
      <c r="B3" s="1" t="s">
        <v>12</v>
      </c>
      <c r="C3" s="1" t="s">
        <v>107</v>
      </c>
      <c r="D3" s="1" t="s">
        <v>108</v>
      </c>
      <c r="E3" s="1" t="s">
        <v>109</v>
      </c>
      <c r="F3" s="3" t="s">
        <v>40</v>
      </c>
      <c r="G3" s="1" t="s">
        <v>41</v>
      </c>
      <c r="H3" s="4" t="s">
        <v>13</v>
      </c>
      <c r="I3" s="12" t="s">
        <v>110</v>
      </c>
      <c r="J3" s="1" t="s">
        <v>111</v>
      </c>
      <c r="K3" s="50" t="s">
        <v>112</v>
      </c>
      <c r="L3" s="27" t="s">
        <v>113</v>
      </c>
      <c r="M3" s="43" t="s">
        <v>114</v>
      </c>
      <c r="N3" s="6" t="s">
        <v>115</v>
      </c>
      <c r="O3" s="49" t="s">
        <v>116</v>
      </c>
      <c r="P3" s="45" t="s">
        <v>117</v>
      </c>
      <c r="Q3" s="66" t="s">
        <v>118</v>
      </c>
      <c r="R3" s="85" t="s">
        <v>119</v>
      </c>
      <c r="S3" s="5" t="s">
        <v>120</v>
      </c>
      <c r="T3" s="51" t="s">
        <v>121</v>
      </c>
      <c r="U3" s="87" t="s">
        <v>122</v>
      </c>
      <c r="V3" s="8" t="s">
        <v>21</v>
      </c>
      <c r="W3" s="44" t="s">
        <v>123</v>
      </c>
      <c r="X3" s="46" t="s">
        <v>124</v>
      </c>
      <c r="Y3" s="47" t="s">
        <v>125</v>
      </c>
      <c r="Z3" s="47" t="s">
        <v>126</v>
      </c>
      <c r="AA3" s="45" t="s">
        <v>127</v>
      </c>
      <c r="AB3" s="30" t="s">
        <v>128</v>
      </c>
      <c r="AC3" s="12" t="s">
        <v>32</v>
      </c>
    </row>
    <row r="4" spans="1:29" x14ac:dyDescent="0.25">
      <c r="A4" s="32"/>
      <c r="B4" s="32"/>
      <c r="C4" s="32"/>
      <c r="D4" s="32"/>
      <c r="E4" s="32"/>
      <c r="F4" s="32"/>
      <c r="G4" s="32"/>
      <c r="H4" s="34"/>
      <c r="I4" s="36"/>
      <c r="J4" s="32"/>
      <c r="K4" s="37"/>
      <c r="L4" s="82">
        <f>I4*J4/9</f>
        <v>0</v>
      </c>
      <c r="M4" s="83">
        <f>(I4*J4*K4)/27</f>
        <v>0</v>
      </c>
      <c r="N4" s="84">
        <f>((I4*J4*K4)*144)/2000</f>
        <v>0</v>
      </c>
      <c r="O4" s="42"/>
      <c r="P4" s="34"/>
      <c r="Q4" s="67"/>
      <c r="R4" s="86"/>
      <c r="S4" s="42"/>
      <c r="T4" s="34"/>
      <c r="U4" s="88"/>
      <c r="V4" s="41"/>
      <c r="W4" s="32"/>
      <c r="X4" s="37"/>
      <c r="Y4" s="38"/>
      <c r="Z4" s="39"/>
      <c r="AA4" s="39"/>
      <c r="AB4" s="38"/>
      <c r="AC4" s="36"/>
    </row>
    <row r="5" spans="1:29" x14ac:dyDescent="0.25">
      <c r="A5" s="32"/>
      <c r="B5" s="32"/>
      <c r="C5" s="32"/>
      <c r="D5" s="32"/>
      <c r="E5" s="32"/>
      <c r="F5" s="32"/>
      <c r="G5" s="32"/>
      <c r="H5" s="34"/>
      <c r="I5" s="36"/>
      <c r="J5" s="32"/>
      <c r="K5" s="37"/>
      <c r="L5" s="82">
        <f t="shared" ref="L5:L23" si="0">I5*J5/9</f>
        <v>0</v>
      </c>
      <c r="M5" s="83">
        <f t="shared" ref="M5:M23" si="1">(I5*J5*K5)/27</f>
        <v>0</v>
      </c>
      <c r="N5" s="84">
        <f t="shared" ref="N5:N23" si="2">((I5*J5*K5)*144)/2000</f>
        <v>0</v>
      </c>
      <c r="O5" s="42"/>
      <c r="P5" s="34"/>
      <c r="Q5" s="67"/>
      <c r="R5" s="86"/>
      <c r="S5" s="42"/>
      <c r="T5" s="34"/>
      <c r="U5" s="88"/>
      <c r="V5" s="41"/>
      <c r="W5" s="32"/>
      <c r="X5" s="37"/>
      <c r="Y5" s="38"/>
      <c r="Z5" s="39"/>
      <c r="AA5" s="39"/>
      <c r="AB5" s="38"/>
      <c r="AC5" s="36"/>
    </row>
    <row r="6" spans="1:29" x14ac:dyDescent="0.25">
      <c r="A6" s="32"/>
      <c r="B6" s="32"/>
      <c r="C6" s="32"/>
      <c r="D6" s="32"/>
      <c r="E6" s="32"/>
      <c r="F6" s="32"/>
      <c r="G6" s="32"/>
      <c r="H6" s="34"/>
      <c r="I6" s="36"/>
      <c r="J6" s="32"/>
      <c r="K6" s="37"/>
      <c r="L6" s="82">
        <f t="shared" si="0"/>
        <v>0</v>
      </c>
      <c r="M6" s="83">
        <f t="shared" si="1"/>
        <v>0</v>
      </c>
      <c r="N6" s="84">
        <f t="shared" si="2"/>
        <v>0</v>
      </c>
      <c r="O6" s="42"/>
      <c r="P6" s="34"/>
      <c r="Q6" s="67"/>
      <c r="R6" s="86"/>
      <c r="S6" s="42"/>
      <c r="T6" s="34"/>
      <c r="U6" s="88"/>
      <c r="V6" s="41"/>
      <c r="W6" s="32"/>
      <c r="X6" s="37"/>
      <c r="Y6" s="38"/>
      <c r="Z6" s="39"/>
      <c r="AA6" s="39"/>
      <c r="AB6" s="38"/>
      <c r="AC6" s="36"/>
    </row>
    <row r="7" spans="1:29" x14ac:dyDescent="0.25">
      <c r="A7" s="32"/>
      <c r="B7" s="32"/>
      <c r="C7" s="32"/>
      <c r="D7" s="32"/>
      <c r="E7" s="32"/>
      <c r="F7" s="32"/>
      <c r="G7" s="32"/>
      <c r="H7" s="34"/>
      <c r="I7" s="36"/>
      <c r="J7" s="32"/>
      <c r="K7" s="37"/>
      <c r="L7" s="82">
        <f t="shared" si="0"/>
        <v>0</v>
      </c>
      <c r="M7" s="83">
        <f t="shared" si="1"/>
        <v>0</v>
      </c>
      <c r="N7" s="84">
        <f t="shared" si="2"/>
        <v>0</v>
      </c>
      <c r="O7" s="42"/>
      <c r="P7" s="34"/>
      <c r="Q7" s="67"/>
      <c r="R7" s="86"/>
      <c r="S7" s="42"/>
      <c r="T7" s="34"/>
      <c r="U7" s="88"/>
      <c r="V7" s="41"/>
      <c r="W7" s="32"/>
      <c r="X7" s="37"/>
      <c r="Y7" s="38"/>
      <c r="Z7" s="39"/>
      <c r="AA7" s="39"/>
      <c r="AB7" s="38"/>
      <c r="AC7" s="36"/>
    </row>
    <row r="8" spans="1:29" x14ac:dyDescent="0.25">
      <c r="A8" s="32"/>
      <c r="B8" s="32"/>
      <c r="C8" s="32"/>
      <c r="D8" s="32"/>
      <c r="E8" s="32"/>
      <c r="F8" s="32"/>
      <c r="G8" s="32"/>
      <c r="H8" s="34"/>
      <c r="I8" s="36"/>
      <c r="J8" s="32"/>
      <c r="K8" s="37"/>
      <c r="L8" s="82">
        <f t="shared" si="0"/>
        <v>0</v>
      </c>
      <c r="M8" s="83">
        <f t="shared" si="1"/>
        <v>0</v>
      </c>
      <c r="N8" s="84">
        <f t="shared" si="2"/>
        <v>0</v>
      </c>
      <c r="O8" s="42"/>
      <c r="P8" s="34"/>
      <c r="Q8" s="67"/>
      <c r="R8" s="86"/>
      <c r="S8" s="42"/>
      <c r="T8" s="34"/>
      <c r="U8" s="88"/>
      <c r="V8" s="41"/>
      <c r="W8" s="32"/>
      <c r="X8" s="37"/>
      <c r="Y8" s="38"/>
      <c r="Z8" s="39"/>
      <c r="AA8" s="39"/>
      <c r="AB8" s="38"/>
      <c r="AC8" s="36"/>
    </row>
    <row r="9" spans="1:29" x14ac:dyDescent="0.25">
      <c r="A9" s="32"/>
      <c r="B9" s="32"/>
      <c r="C9" s="32"/>
      <c r="D9" s="32"/>
      <c r="E9" s="32"/>
      <c r="F9" s="32"/>
      <c r="G9" s="32"/>
      <c r="H9" s="34"/>
      <c r="I9" s="36"/>
      <c r="J9" s="32"/>
      <c r="K9" s="37"/>
      <c r="L9" s="82">
        <f t="shared" si="0"/>
        <v>0</v>
      </c>
      <c r="M9" s="83">
        <f t="shared" si="1"/>
        <v>0</v>
      </c>
      <c r="N9" s="84">
        <f t="shared" si="2"/>
        <v>0</v>
      </c>
      <c r="O9" s="42"/>
      <c r="P9" s="34"/>
      <c r="Q9" s="67"/>
      <c r="R9" s="86"/>
      <c r="S9" s="42"/>
      <c r="T9" s="34"/>
      <c r="U9" s="88"/>
      <c r="V9" s="41"/>
      <c r="W9" s="32"/>
      <c r="X9" s="37"/>
      <c r="Y9" s="38"/>
      <c r="Z9" s="39"/>
      <c r="AA9" s="39"/>
      <c r="AB9" s="38"/>
      <c r="AC9" s="36"/>
    </row>
    <row r="10" spans="1:29" x14ac:dyDescent="0.25">
      <c r="A10" s="32"/>
      <c r="B10" s="32"/>
      <c r="C10" s="32"/>
      <c r="D10" s="32"/>
      <c r="E10" s="32"/>
      <c r="F10" s="32"/>
      <c r="G10" s="32"/>
      <c r="H10" s="34"/>
      <c r="I10" s="36"/>
      <c r="J10" s="32"/>
      <c r="K10" s="37"/>
      <c r="L10" s="82">
        <f t="shared" si="0"/>
        <v>0</v>
      </c>
      <c r="M10" s="83">
        <f t="shared" si="1"/>
        <v>0</v>
      </c>
      <c r="N10" s="84">
        <f t="shared" si="2"/>
        <v>0</v>
      </c>
      <c r="O10" s="42"/>
      <c r="P10" s="34"/>
      <c r="Q10" s="67"/>
      <c r="R10" s="86"/>
      <c r="S10" s="42"/>
      <c r="T10" s="34"/>
      <c r="U10" s="88"/>
      <c r="V10" s="41"/>
      <c r="W10" s="32"/>
      <c r="X10" s="37"/>
      <c r="Y10" s="38"/>
      <c r="Z10" s="39"/>
      <c r="AA10" s="39"/>
      <c r="AB10" s="38"/>
      <c r="AC10" s="36"/>
    </row>
    <row r="11" spans="1:29" x14ac:dyDescent="0.25">
      <c r="A11" s="32"/>
      <c r="B11" s="32"/>
      <c r="C11" s="32"/>
      <c r="D11" s="32"/>
      <c r="E11" s="32"/>
      <c r="F11" s="32"/>
      <c r="G11" s="32"/>
      <c r="H11" s="34"/>
      <c r="I11" s="36"/>
      <c r="J11" s="32"/>
      <c r="K11" s="37"/>
      <c r="L11" s="82">
        <f t="shared" si="0"/>
        <v>0</v>
      </c>
      <c r="M11" s="83">
        <f t="shared" si="1"/>
        <v>0</v>
      </c>
      <c r="N11" s="84">
        <f t="shared" si="2"/>
        <v>0</v>
      </c>
      <c r="O11" s="42"/>
      <c r="P11" s="34"/>
      <c r="Q11" s="67"/>
      <c r="R11" s="86"/>
      <c r="S11" s="42"/>
      <c r="T11" s="34"/>
      <c r="U11" s="88"/>
      <c r="V11" s="41"/>
      <c r="W11" s="32"/>
      <c r="X11" s="37"/>
      <c r="Y11" s="38"/>
      <c r="Z11" s="39"/>
      <c r="AA11" s="39"/>
      <c r="AB11" s="38"/>
      <c r="AC11" s="36"/>
    </row>
    <row r="12" spans="1:29" x14ac:dyDescent="0.25">
      <c r="A12" s="32"/>
      <c r="B12" s="32"/>
      <c r="C12" s="32"/>
      <c r="D12" s="32"/>
      <c r="E12" s="32"/>
      <c r="F12" s="32"/>
      <c r="G12" s="32"/>
      <c r="H12" s="34"/>
      <c r="I12" s="36"/>
      <c r="J12" s="32"/>
      <c r="K12" s="37"/>
      <c r="L12" s="82">
        <f t="shared" si="0"/>
        <v>0</v>
      </c>
      <c r="M12" s="83">
        <f t="shared" si="1"/>
        <v>0</v>
      </c>
      <c r="N12" s="84">
        <f t="shared" si="2"/>
        <v>0</v>
      </c>
      <c r="O12" s="42"/>
      <c r="P12" s="34"/>
      <c r="Q12" s="67"/>
      <c r="R12" s="86"/>
      <c r="S12" s="42"/>
      <c r="T12" s="34"/>
      <c r="U12" s="88"/>
      <c r="V12" s="41"/>
      <c r="W12" s="32"/>
      <c r="X12" s="37"/>
      <c r="Y12" s="38"/>
      <c r="Z12" s="39"/>
      <c r="AA12" s="39"/>
      <c r="AB12" s="38"/>
      <c r="AC12" s="36"/>
    </row>
    <row r="13" spans="1:29" x14ac:dyDescent="0.25">
      <c r="A13" s="32"/>
      <c r="B13" s="32"/>
      <c r="C13" s="32"/>
      <c r="D13" s="32"/>
      <c r="E13" s="32"/>
      <c r="F13" s="32"/>
      <c r="G13" s="32"/>
      <c r="H13" s="34"/>
      <c r="I13" s="36"/>
      <c r="J13" s="32"/>
      <c r="K13" s="37"/>
      <c r="L13" s="82">
        <f t="shared" si="0"/>
        <v>0</v>
      </c>
      <c r="M13" s="83">
        <f t="shared" si="1"/>
        <v>0</v>
      </c>
      <c r="N13" s="84">
        <f t="shared" si="2"/>
        <v>0</v>
      </c>
      <c r="O13" s="42"/>
      <c r="P13" s="34"/>
      <c r="Q13" s="67"/>
      <c r="R13" s="86"/>
      <c r="S13" s="42"/>
      <c r="T13" s="34"/>
      <c r="U13" s="88"/>
      <c r="V13" s="41"/>
      <c r="W13" s="32"/>
      <c r="X13" s="37"/>
      <c r="Y13" s="38"/>
      <c r="Z13" s="39"/>
      <c r="AA13" s="39"/>
      <c r="AB13" s="38"/>
      <c r="AC13" s="36"/>
    </row>
    <row r="14" spans="1:29" x14ac:dyDescent="0.25">
      <c r="A14" s="32"/>
      <c r="B14" s="32"/>
      <c r="C14" s="32"/>
      <c r="D14" s="32"/>
      <c r="E14" s="32"/>
      <c r="F14" s="32"/>
      <c r="G14" s="32"/>
      <c r="H14" s="34"/>
      <c r="I14" s="36"/>
      <c r="J14" s="32"/>
      <c r="K14" s="37"/>
      <c r="L14" s="82">
        <f t="shared" si="0"/>
        <v>0</v>
      </c>
      <c r="M14" s="83">
        <f t="shared" si="1"/>
        <v>0</v>
      </c>
      <c r="N14" s="84">
        <f t="shared" si="2"/>
        <v>0</v>
      </c>
      <c r="O14" s="42"/>
      <c r="P14" s="34"/>
      <c r="Q14" s="67"/>
      <c r="R14" s="86"/>
      <c r="S14" s="42"/>
      <c r="T14" s="34"/>
      <c r="U14" s="88"/>
      <c r="V14" s="41"/>
      <c r="W14" s="32"/>
      <c r="X14" s="37"/>
      <c r="Y14" s="38"/>
      <c r="Z14" s="39"/>
      <c r="AA14" s="39"/>
      <c r="AB14" s="38"/>
      <c r="AC14" s="36"/>
    </row>
    <row r="15" spans="1:29" x14ac:dyDescent="0.25">
      <c r="A15" s="32"/>
      <c r="B15" s="32"/>
      <c r="C15" s="32"/>
      <c r="D15" s="32"/>
      <c r="E15" s="32"/>
      <c r="F15" s="32"/>
      <c r="G15" s="32"/>
      <c r="H15" s="34"/>
      <c r="I15" s="36"/>
      <c r="J15" s="32"/>
      <c r="K15" s="37"/>
      <c r="L15" s="82">
        <f t="shared" si="0"/>
        <v>0</v>
      </c>
      <c r="M15" s="83">
        <f t="shared" si="1"/>
        <v>0</v>
      </c>
      <c r="N15" s="84">
        <f t="shared" si="2"/>
        <v>0</v>
      </c>
      <c r="O15" s="42"/>
      <c r="P15" s="34"/>
      <c r="Q15" s="67"/>
      <c r="R15" s="86"/>
      <c r="S15" s="42"/>
      <c r="T15" s="34"/>
      <c r="U15" s="88"/>
      <c r="V15" s="41"/>
      <c r="W15" s="32"/>
      <c r="X15" s="37"/>
      <c r="Y15" s="38"/>
      <c r="Z15" s="39"/>
      <c r="AA15" s="39"/>
      <c r="AB15" s="38"/>
      <c r="AC15" s="36"/>
    </row>
    <row r="16" spans="1:29" x14ac:dyDescent="0.25">
      <c r="A16" s="32"/>
      <c r="B16" s="32"/>
      <c r="C16" s="32"/>
      <c r="D16" s="32"/>
      <c r="E16" s="32"/>
      <c r="F16" s="32"/>
      <c r="G16" s="32"/>
      <c r="H16" s="34"/>
      <c r="I16" s="36"/>
      <c r="J16" s="32"/>
      <c r="K16" s="37"/>
      <c r="L16" s="82">
        <f t="shared" si="0"/>
        <v>0</v>
      </c>
      <c r="M16" s="83">
        <f t="shared" si="1"/>
        <v>0</v>
      </c>
      <c r="N16" s="84">
        <f t="shared" si="2"/>
        <v>0</v>
      </c>
      <c r="O16" s="42"/>
      <c r="P16" s="34"/>
      <c r="Q16" s="67"/>
      <c r="R16" s="86"/>
      <c r="S16" s="42"/>
      <c r="T16" s="34"/>
      <c r="U16" s="88"/>
      <c r="V16" s="41"/>
      <c r="W16" s="32"/>
      <c r="X16" s="37"/>
      <c r="Y16" s="38"/>
      <c r="Z16" s="39"/>
      <c r="AA16" s="39"/>
      <c r="AB16" s="38"/>
      <c r="AC16" s="36"/>
    </row>
    <row r="17" spans="1:29" x14ac:dyDescent="0.25">
      <c r="A17" s="32"/>
      <c r="B17" s="32"/>
      <c r="C17" s="32"/>
      <c r="D17" s="32"/>
      <c r="E17" s="32"/>
      <c r="F17" s="32"/>
      <c r="G17" s="32"/>
      <c r="H17" s="34"/>
      <c r="I17" s="36"/>
      <c r="J17" s="32"/>
      <c r="K17" s="37"/>
      <c r="L17" s="82">
        <f t="shared" si="0"/>
        <v>0</v>
      </c>
      <c r="M17" s="83">
        <f t="shared" si="1"/>
        <v>0</v>
      </c>
      <c r="N17" s="84">
        <f t="shared" si="2"/>
        <v>0</v>
      </c>
      <c r="O17" s="42"/>
      <c r="P17" s="34"/>
      <c r="Q17" s="67"/>
      <c r="R17" s="86"/>
      <c r="S17" s="42"/>
      <c r="T17" s="34"/>
      <c r="U17" s="88"/>
      <c r="V17" s="41"/>
      <c r="W17" s="32"/>
      <c r="X17" s="37"/>
      <c r="Y17" s="38"/>
      <c r="Z17" s="39"/>
      <c r="AA17" s="39"/>
      <c r="AB17" s="38"/>
      <c r="AC17" s="36"/>
    </row>
    <row r="18" spans="1:29" x14ac:dyDescent="0.25">
      <c r="A18" s="32"/>
      <c r="B18" s="32"/>
      <c r="C18" s="32"/>
      <c r="D18" s="32"/>
      <c r="E18" s="32"/>
      <c r="F18" s="32"/>
      <c r="G18" s="32"/>
      <c r="H18" s="34"/>
      <c r="I18" s="36"/>
      <c r="J18" s="32"/>
      <c r="K18" s="37"/>
      <c r="L18" s="82">
        <f t="shared" si="0"/>
        <v>0</v>
      </c>
      <c r="M18" s="83">
        <f t="shared" si="1"/>
        <v>0</v>
      </c>
      <c r="N18" s="84">
        <f t="shared" si="2"/>
        <v>0</v>
      </c>
      <c r="O18" s="42"/>
      <c r="P18" s="34"/>
      <c r="Q18" s="67"/>
      <c r="R18" s="86"/>
      <c r="S18" s="42"/>
      <c r="T18" s="34"/>
      <c r="U18" s="88"/>
      <c r="V18" s="41"/>
      <c r="W18" s="32"/>
      <c r="X18" s="37"/>
      <c r="Y18" s="38"/>
      <c r="Z18" s="39"/>
      <c r="AA18" s="39"/>
      <c r="AB18" s="38"/>
      <c r="AC18" s="36"/>
    </row>
    <row r="19" spans="1:29" x14ac:dyDescent="0.25">
      <c r="A19" s="32"/>
      <c r="B19" s="32"/>
      <c r="C19" s="32"/>
      <c r="D19" s="32"/>
      <c r="E19" s="32"/>
      <c r="F19" s="32"/>
      <c r="G19" s="32"/>
      <c r="H19" s="34"/>
      <c r="I19" s="36"/>
      <c r="J19" s="32"/>
      <c r="K19" s="37"/>
      <c r="L19" s="82">
        <f t="shared" si="0"/>
        <v>0</v>
      </c>
      <c r="M19" s="83">
        <f t="shared" si="1"/>
        <v>0</v>
      </c>
      <c r="N19" s="84">
        <f t="shared" si="2"/>
        <v>0</v>
      </c>
      <c r="O19" s="42"/>
      <c r="P19" s="34"/>
      <c r="Q19" s="67"/>
      <c r="R19" s="86"/>
      <c r="S19" s="42"/>
      <c r="T19" s="34"/>
      <c r="U19" s="88"/>
      <c r="V19" s="41"/>
      <c r="W19" s="32"/>
      <c r="X19" s="37"/>
      <c r="Y19" s="38"/>
      <c r="Z19" s="39"/>
      <c r="AA19" s="39"/>
      <c r="AB19" s="38"/>
      <c r="AC19" s="36"/>
    </row>
    <row r="20" spans="1:29" x14ac:dyDescent="0.25">
      <c r="A20" s="32"/>
      <c r="B20" s="32"/>
      <c r="C20" s="32"/>
      <c r="D20" s="32"/>
      <c r="E20" s="32"/>
      <c r="F20" s="32"/>
      <c r="G20" s="32"/>
      <c r="H20" s="34"/>
      <c r="I20" s="36"/>
      <c r="J20" s="32"/>
      <c r="K20" s="37"/>
      <c r="L20" s="82">
        <f t="shared" si="0"/>
        <v>0</v>
      </c>
      <c r="M20" s="83">
        <f t="shared" si="1"/>
        <v>0</v>
      </c>
      <c r="N20" s="84">
        <f t="shared" si="2"/>
        <v>0</v>
      </c>
      <c r="O20" s="42"/>
      <c r="P20" s="34"/>
      <c r="Q20" s="67"/>
      <c r="R20" s="86"/>
      <c r="S20" s="42"/>
      <c r="T20" s="34"/>
      <c r="U20" s="88"/>
      <c r="V20" s="41"/>
      <c r="W20" s="32"/>
      <c r="X20" s="37"/>
      <c r="Y20" s="38"/>
      <c r="Z20" s="39"/>
      <c r="AA20" s="39"/>
      <c r="AB20" s="38"/>
      <c r="AC20" s="36"/>
    </row>
    <row r="21" spans="1:29" x14ac:dyDescent="0.25">
      <c r="A21" s="32"/>
      <c r="B21" s="32"/>
      <c r="C21" s="32"/>
      <c r="D21" s="32"/>
      <c r="E21" s="32"/>
      <c r="F21" s="32"/>
      <c r="G21" s="32"/>
      <c r="H21" s="34"/>
      <c r="I21" s="36"/>
      <c r="J21" s="32"/>
      <c r="K21" s="37"/>
      <c r="L21" s="82">
        <f t="shared" si="0"/>
        <v>0</v>
      </c>
      <c r="M21" s="83">
        <f t="shared" si="1"/>
        <v>0</v>
      </c>
      <c r="N21" s="84">
        <f t="shared" si="2"/>
        <v>0</v>
      </c>
      <c r="O21" s="42"/>
      <c r="P21" s="34"/>
      <c r="Q21" s="67"/>
      <c r="R21" s="86"/>
      <c r="S21" s="42"/>
      <c r="T21" s="34"/>
      <c r="U21" s="88"/>
      <c r="V21" s="41"/>
      <c r="W21" s="32"/>
      <c r="X21" s="37"/>
      <c r="Y21" s="38"/>
      <c r="Z21" s="39"/>
      <c r="AA21" s="39"/>
      <c r="AB21" s="38"/>
      <c r="AC21" s="36"/>
    </row>
    <row r="22" spans="1:29" x14ac:dyDescent="0.25">
      <c r="A22" s="32"/>
      <c r="B22" s="32"/>
      <c r="C22" s="32"/>
      <c r="D22" s="32"/>
      <c r="E22" s="32"/>
      <c r="F22" s="32"/>
      <c r="G22" s="32"/>
      <c r="H22" s="34"/>
      <c r="I22" s="36"/>
      <c r="J22" s="32"/>
      <c r="K22" s="37"/>
      <c r="L22" s="82">
        <f t="shared" si="0"/>
        <v>0</v>
      </c>
      <c r="M22" s="83">
        <f t="shared" si="1"/>
        <v>0</v>
      </c>
      <c r="N22" s="84">
        <f t="shared" si="2"/>
        <v>0</v>
      </c>
      <c r="O22" s="42"/>
      <c r="P22" s="34"/>
      <c r="Q22" s="67"/>
      <c r="R22" s="86"/>
      <c r="S22" s="42"/>
      <c r="T22" s="34"/>
      <c r="U22" s="88"/>
      <c r="V22" s="41"/>
      <c r="W22" s="32"/>
      <c r="X22" s="37"/>
      <c r="Y22" s="38"/>
      <c r="Z22" s="39"/>
      <c r="AA22" s="39"/>
      <c r="AB22" s="38"/>
      <c r="AC22" s="36"/>
    </row>
    <row r="23" spans="1:29" x14ac:dyDescent="0.25">
      <c r="A23" s="32"/>
      <c r="B23" s="32"/>
      <c r="C23" s="32"/>
      <c r="D23" s="32"/>
      <c r="E23" s="32"/>
      <c r="F23" s="32"/>
      <c r="G23" s="32"/>
      <c r="H23" s="34"/>
      <c r="I23" s="36"/>
      <c r="J23" s="32"/>
      <c r="K23" s="37"/>
      <c r="L23" s="82">
        <f t="shared" si="0"/>
        <v>0</v>
      </c>
      <c r="M23" s="83">
        <f t="shared" si="1"/>
        <v>0</v>
      </c>
      <c r="N23" s="84">
        <f t="shared" si="2"/>
        <v>0</v>
      </c>
      <c r="O23" s="42"/>
      <c r="P23" s="34"/>
      <c r="Q23" s="67"/>
      <c r="R23" s="86"/>
      <c r="S23" s="42"/>
      <c r="T23" s="34"/>
      <c r="U23" s="88"/>
      <c r="V23" s="41"/>
      <c r="W23" s="32"/>
      <c r="X23" s="37"/>
      <c r="Y23" s="38"/>
      <c r="Z23" s="39"/>
      <c r="AA23" s="39"/>
      <c r="AB23" s="38"/>
      <c r="AC23" s="36"/>
    </row>
  </sheetData>
  <mergeCells count="6">
    <mergeCell ref="A1:AC1"/>
    <mergeCell ref="A2:H2"/>
    <mergeCell ref="O2:U2"/>
    <mergeCell ref="V2:AA2"/>
    <mergeCell ref="I2:K2"/>
    <mergeCell ref="L2:N2"/>
  </mergeCells>
  <dataValidations count="3">
    <dataValidation type="whole" allowBlank="1" showInputMessage="1" showErrorMessage="1" sqref="F3" xr:uid="{B4410F6D-A7A5-49BE-85EC-3957F2D2B331}">
      <formula1>1</formula1>
      <formula2>12</formula2>
    </dataValidation>
    <dataValidation type="list" allowBlank="1" showInputMessage="1" showErrorMessage="1" sqref="U1:U1048576" xr:uid="{F7E8F227-C7FE-4FB4-A75F-39F385578B28}">
      <formula1>"Driveway, Roadway"</formula1>
    </dataValidation>
    <dataValidation type="list" allowBlank="1" showInputMessage="1" showErrorMessage="1" sqref="X1:X1048576" xr:uid="{BBC4EC1D-5B1D-4AAD-9729-D2F2FC4187D8}">
      <formula1>"Driveway, Sidewalk"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DF5DB-F7C0-44BC-8611-63EACA74181C}">
  <dimension ref="A1:U23"/>
  <sheetViews>
    <sheetView workbookViewId="0">
      <selection activeCell="Q17" sqref="Q17"/>
    </sheetView>
  </sheetViews>
  <sheetFormatPr defaultColWidth="9.140625" defaultRowHeight="15" x14ac:dyDescent="0.25"/>
  <cols>
    <col min="1" max="2" width="9.140625" style="24"/>
    <col min="3" max="4" width="12.5703125" style="24" customWidth="1"/>
    <col min="5" max="7" width="9.140625" style="24"/>
    <col min="8" max="8" width="13" style="24" customWidth="1"/>
    <col min="9" max="11" width="10.5703125" style="24" customWidth="1"/>
    <col min="12" max="12" width="9.140625" style="29"/>
    <col min="13" max="14" width="9.140625" style="24"/>
    <col min="15" max="15" width="11.7109375" style="24" customWidth="1"/>
    <col min="16" max="17" width="10.140625" style="24" customWidth="1"/>
    <col min="18" max="18" width="14.85546875" style="24" customWidth="1"/>
    <col min="19" max="19" width="9.140625" style="29"/>
    <col min="20" max="20" width="9.140625" style="24"/>
    <col min="21" max="21" width="28" style="24" customWidth="1"/>
    <col min="22" max="16384" width="9.140625" style="24"/>
  </cols>
  <sheetData>
    <row r="1" spans="1:21" x14ac:dyDescent="0.25">
      <c r="A1" s="261" t="s">
        <v>131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  <c r="O1" s="261"/>
      <c r="P1" s="261"/>
      <c r="Q1" s="261"/>
      <c r="R1" s="261"/>
      <c r="S1" s="261"/>
      <c r="T1" s="261"/>
      <c r="U1" s="261"/>
    </row>
    <row r="2" spans="1:21" x14ac:dyDescent="0.25">
      <c r="A2" s="243" t="s">
        <v>1</v>
      </c>
      <c r="B2" s="244"/>
      <c r="C2" s="244"/>
      <c r="D2" s="244"/>
      <c r="E2" s="244"/>
      <c r="F2" s="244"/>
      <c r="G2" s="244"/>
      <c r="H2" s="244"/>
      <c r="I2" s="260" t="s">
        <v>132</v>
      </c>
      <c r="J2" s="244"/>
      <c r="K2" s="244"/>
      <c r="L2" s="244"/>
      <c r="M2" s="244"/>
      <c r="N2" s="244"/>
      <c r="O2" s="244"/>
      <c r="P2" s="244"/>
      <c r="Q2" s="244"/>
      <c r="R2" s="245"/>
      <c r="S2" s="260" t="s">
        <v>133</v>
      </c>
      <c r="T2" s="244"/>
      <c r="U2" s="89"/>
    </row>
    <row r="3" spans="1:21" ht="45" x14ac:dyDescent="0.25">
      <c r="A3" s="1" t="s">
        <v>37</v>
      </c>
      <c r="B3" s="1" t="s">
        <v>12</v>
      </c>
      <c r="C3" s="1" t="s">
        <v>107</v>
      </c>
      <c r="D3" s="1" t="s">
        <v>108</v>
      </c>
      <c r="E3" s="1" t="s">
        <v>109</v>
      </c>
      <c r="F3" s="3" t="s">
        <v>40</v>
      </c>
      <c r="G3" s="1" t="s">
        <v>41</v>
      </c>
      <c r="H3" s="4" t="s">
        <v>13</v>
      </c>
      <c r="I3" s="12" t="s">
        <v>134</v>
      </c>
      <c r="J3" s="1" t="s">
        <v>135</v>
      </c>
      <c r="K3" s="6" t="s">
        <v>136</v>
      </c>
      <c r="L3" s="5" t="s">
        <v>137</v>
      </c>
      <c r="M3" s="1" t="s">
        <v>138</v>
      </c>
      <c r="N3" s="1" t="s">
        <v>139</v>
      </c>
      <c r="O3" s="51" t="s">
        <v>126</v>
      </c>
      <c r="P3" s="51" t="s">
        <v>140</v>
      </c>
      <c r="Q3" s="51" t="s">
        <v>141</v>
      </c>
      <c r="R3" s="46" t="s">
        <v>142</v>
      </c>
      <c r="S3" s="5" t="s">
        <v>21</v>
      </c>
      <c r="T3" s="4" t="s">
        <v>143</v>
      </c>
      <c r="U3" s="12" t="s">
        <v>32</v>
      </c>
    </row>
    <row r="4" spans="1:21" x14ac:dyDescent="0.25">
      <c r="A4" s="32"/>
      <c r="B4" s="32"/>
      <c r="C4" s="32"/>
      <c r="D4" s="32"/>
      <c r="E4" s="32"/>
      <c r="F4" s="32"/>
      <c r="G4" s="32"/>
      <c r="H4" s="32"/>
      <c r="I4" s="36"/>
      <c r="J4" s="32"/>
      <c r="K4" s="37"/>
      <c r="L4" s="42"/>
      <c r="M4" s="32"/>
      <c r="N4" s="32"/>
      <c r="O4" s="32"/>
      <c r="P4" s="32"/>
      <c r="Q4" s="32"/>
      <c r="R4" s="34"/>
      <c r="S4" s="41"/>
      <c r="T4" s="37"/>
      <c r="U4" s="36"/>
    </row>
    <row r="5" spans="1:21" x14ac:dyDescent="0.25">
      <c r="A5" s="32"/>
      <c r="B5" s="32"/>
      <c r="C5" s="32"/>
      <c r="D5" s="32"/>
      <c r="E5" s="32"/>
      <c r="F5" s="32"/>
      <c r="G5" s="32"/>
      <c r="H5" s="32"/>
      <c r="I5" s="36"/>
      <c r="J5" s="32"/>
      <c r="K5" s="37"/>
      <c r="L5" s="42"/>
      <c r="M5" s="32"/>
      <c r="N5" s="32"/>
      <c r="O5" s="32"/>
      <c r="P5" s="32"/>
      <c r="Q5" s="32"/>
      <c r="R5" s="34"/>
      <c r="S5" s="41"/>
      <c r="T5" s="37"/>
      <c r="U5" s="36"/>
    </row>
    <row r="6" spans="1:21" x14ac:dyDescent="0.25">
      <c r="A6" s="32"/>
      <c r="B6" s="32"/>
      <c r="C6" s="32"/>
      <c r="D6" s="32"/>
      <c r="E6" s="32"/>
      <c r="F6" s="32"/>
      <c r="G6" s="32"/>
      <c r="H6" s="32"/>
      <c r="I6" s="36"/>
      <c r="J6" s="32"/>
      <c r="K6" s="37"/>
      <c r="L6" s="42"/>
      <c r="M6" s="32"/>
      <c r="N6" s="32"/>
      <c r="O6" s="32"/>
      <c r="P6" s="32"/>
      <c r="Q6" s="32"/>
      <c r="R6" s="34"/>
      <c r="S6" s="41"/>
      <c r="T6" s="37"/>
      <c r="U6" s="36"/>
    </row>
    <row r="7" spans="1:21" x14ac:dyDescent="0.25">
      <c r="A7" s="32"/>
      <c r="B7" s="32"/>
      <c r="C7" s="32"/>
      <c r="D7" s="32"/>
      <c r="E7" s="32"/>
      <c r="F7" s="32"/>
      <c r="G7" s="32"/>
      <c r="H7" s="32"/>
      <c r="I7" s="36"/>
      <c r="J7" s="32"/>
      <c r="K7" s="37"/>
      <c r="L7" s="42"/>
      <c r="M7" s="32"/>
      <c r="N7" s="32"/>
      <c r="O7" s="32"/>
      <c r="P7" s="32"/>
      <c r="Q7" s="32"/>
      <c r="R7" s="34"/>
      <c r="S7" s="41"/>
      <c r="T7" s="37"/>
      <c r="U7" s="36"/>
    </row>
    <row r="8" spans="1:21" x14ac:dyDescent="0.25">
      <c r="A8" s="32"/>
      <c r="B8" s="32"/>
      <c r="C8" s="32"/>
      <c r="D8" s="32"/>
      <c r="E8" s="32"/>
      <c r="F8" s="32"/>
      <c r="G8" s="32"/>
      <c r="H8" s="34"/>
      <c r="I8" s="36"/>
      <c r="J8" s="32"/>
      <c r="K8" s="37"/>
      <c r="L8" s="42"/>
      <c r="M8" s="32"/>
      <c r="N8" s="32"/>
      <c r="O8" s="32"/>
      <c r="P8" s="32"/>
      <c r="Q8" s="32"/>
      <c r="R8" s="34"/>
      <c r="S8" s="41"/>
      <c r="T8" s="37"/>
      <c r="U8" s="36"/>
    </row>
    <row r="9" spans="1:21" x14ac:dyDescent="0.25">
      <c r="A9" s="32"/>
      <c r="B9" s="32"/>
      <c r="C9" s="32"/>
      <c r="D9" s="32"/>
      <c r="E9" s="32"/>
      <c r="F9" s="32"/>
      <c r="G9" s="32"/>
      <c r="H9" s="34"/>
      <c r="I9" s="36"/>
      <c r="J9" s="32"/>
      <c r="K9" s="37"/>
      <c r="L9" s="42"/>
      <c r="M9" s="32"/>
      <c r="N9" s="32"/>
      <c r="O9" s="32"/>
      <c r="P9" s="32"/>
      <c r="Q9" s="32"/>
      <c r="R9" s="34"/>
      <c r="S9" s="41"/>
      <c r="T9" s="37"/>
      <c r="U9" s="36"/>
    </row>
    <row r="10" spans="1:21" x14ac:dyDescent="0.25">
      <c r="A10" s="32"/>
      <c r="B10" s="32"/>
      <c r="C10" s="32"/>
      <c r="D10" s="32"/>
      <c r="E10" s="32"/>
      <c r="F10" s="32"/>
      <c r="G10" s="32"/>
      <c r="H10" s="34"/>
      <c r="I10" s="36"/>
      <c r="J10" s="32"/>
      <c r="K10" s="37"/>
      <c r="L10" s="42"/>
      <c r="M10" s="32"/>
      <c r="N10" s="32"/>
      <c r="O10" s="32"/>
      <c r="P10" s="32"/>
      <c r="Q10" s="32"/>
      <c r="R10" s="34"/>
      <c r="S10" s="41"/>
      <c r="T10" s="37"/>
      <c r="U10" s="36"/>
    </row>
    <row r="11" spans="1:21" x14ac:dyDescent="0.25">
      <c r="A11" s="32"/>
      <c r="B11" s="32"/>
      <c r="C11" s="32"/>
      <c r="D11" s="32"/>
      <c r="E11" s="32"/>
      <c r="F11" s="32"/>
      <c r="G11" s="32"/>
      <c r="H11" s="34"/>
      <c r="I11" s="36"/>
      <c r="J11" s="32"/>
      <c r="K11" s="37"/>
      <c r="L11" s="42"/>
      <c r="M11" s="32"/>
      <c r="N11" s="32"/>
      <c r="O11" s="32"/>
      <c r="P11" s="32"/>
      <c r="Q11" s="32"/>
      <c r="R11" s="34"/>
      <c r="S11" s="41"/>
      <c r="T11" s="37"/>
      <c r="U11" s="36"/>
    </row>
    <row r="12" spans="1:21" x14ac:dyDescent="0.25">
      <c r="A12" s="32"/>
      <c r="B12" s="32"/>
      <c r="C12" s="32"/>
      <c r="D12" s="32"/>
      <c r="E12" s="32"/>
      <c r="F12" s="32"/>
      <c r="G12" s="32"/>
      <c r="H12" s="34"/>
      <c r="I12" s="36"/>
      <c r="J12" s="32"/>
      <c r="K12" s="37"/>
      <c r="L12" s="42"/>
      <c r="M12" s="32"/>
      <c r="N12" s="32"/>
      <c r="O12" s="32"/>
      <c r="P12" s="32"/>
      <c r="Q12" s="32"/>
      <c r="R12" s="34"/>
      <c r="S12" s="41"/>
      <c r="T12" s="37"/>
      <c r="U12" s="36"/>
    </row>
    <row r="13" spans="1:21" x14ac:dyDescent="0.25">
      <c r="A13" s="32"/>
      <c r="B13" s="32"/>
      <c r="C13" s="32"/>
      <c r="D13" s="32"/>
      <c r="E13" s="32"/>
      <c r="F13" s="32"/>
      <c r="G13" s="32"/>
      <c r="H13" s="34"/>
      <c r="I13" s="36"/>
      <c r="J13" s="32"/>
      <c r="K13" s="37"/>
      <c r="L13" s="42"/>
      <c r="M13" s="32"/>
      <c r="N13" s="32"/>
      <c r="O13" s="32"/>
      <c r="P13" s="32"/>
      <c r="Q13" s="32"/>
      <c r="R13" s="34"/>
      <c r="S13" s="41"/>
      <c r="T13" s="37"/>
      <c r="U13" s="36"/>
    </row>
    <row r="14" spans="1:21" x14ac:dyDescent="0.25">
      <c r="A14" s="32"/>
      <c r="B14" s="32"/>
      <c r="C14" s="32"/>
      <c r="D14" s="32"/>
      <c r="E14" s="32"/>
      <c r="F14" s="32"/>
      <c r="G14" s="32"/>
      <c r="H14" s="34"/>
      <c r="I14" s="36"/>
      <c r="J14" s="32"/>
      <c r="K14" s="37"/>
      <c r="L14" s="42"/>
      <c r="M14" s="32"/>
      <c r="N14" s="32"/>
      <c r="O14" s="32"/>
      <c r="P14" s="32"/>
      <c r="Q14" s="32"/>
      <c r="R14" s="34"/>
      <c r="S14" s="41"/>
      <c r="T14" s="37"/>
      <c r="U14" s="36"/>
    </row>
    <row r="15" spans="1:21" x14ac:dyDescent="0.25">
      <c r="A15" s="32"/>
      <c r="B15" s="32"/>
      <c r="C15" s="32"/>
      <c r="D15" s="32"/>
      <c r="E15" s="32"/>
      <c r="F15" s="32"/>
      <c r="G15" s="32"/>
      <c r="H15" s="34"/>
      <c r="I15" s="36"/>
      <c r="J15" s="32"/>
      <c r="K15" s="37"/>
      <c r="L15" s="42"/>
      <c r="M15" s="32"/>
      <c r="N15" s="32"/>
      <c r="O15" s="32"/>
      <c r="P15" s="32"/>
      <c r="Q15" s="32"/>
      <c r="R15" s="34"/>
      <c r="S15" s="41"/>
      <c r="T15" s="37"/>
      <c r="U15" s="36"/>
    </row>
    <row r="16" spans="1:21" x14ac:dyDescent="0.25">
      <c r="A16" s="32"/>
      <c r="B16" s="32"/>
      <c r="C16" s="32"/>
      <c r="D16" s="32"/>
      <c r="E16" s="32"/>
      <c r="F16" s="32"/>
      <c r="G16" s="32"/>
      <c r="H16" s="34"/>
      <c r="I16" s="36"/>
      <c r="J16" s="32"/>
      <c r="K16" s="37"/>
      <c r="L16" s="42"/>
      <c r="M16" s="32"/>
      <c r="N16" s="32"/>
      <c r="O16" s="32"/>
      <c r="P16" s="32"/>
      <c r="Q16" s="32"/>
      <c r="R16" s="34"/>
      <c r="S16" s="41"/>
      <c r="T16" s="37"/>
      <c r="U16" s="36"/>
    </row>
    <row r="17" spans="1:21" x14ac:dyDescent="0.25">
      <c r="A17" s="32"/>
      <c r="B17" s="32"/>
      <c r="C17" s="32"/>
      <c r="D17" s="32"/>
      <c r="E17" s="32"/>
      <c r="F17" s="32"/>
      <c r="G17" s="32"/>
      <c r="H17" s="34"/>
      <c r="I17" s="36"/>
      <c r="J17" s="32"/>
      <c r="K17" s="37"/>
      <c r="L17" s="42"/>
      <c r="M17" s="32"/>
      <c r="N17" s="32"/>
      <c r="O17" s="32"/>
      <c r="P17" s="32"/>
      <c r="Q17" s="32"/>
      <c r="R17" s="34"/>
      <c r="S17" s="41"/>
      <c r="T17" s="37"/>
      <c r="U17" s="36"/>
    </row>
    <row r="18" spans="1:21" x14ac:dyDescent="0.25">
      <c r="A18" s="32"/>
      <c r="B18" s="32"/>
      <c r="C18" s="32"/>
      <c r="D18" s="32"/>
      <c r="E18" s="32"/>
      <c r="F18" s="32"/>
      <c r="G18" s="32"/>
      <c r="H18" s="34"/>
      <c r="I18" s="36"/>
      <c r="J18" s="32"/>
      <c r="K18" s="37"/>
      <c r="L18" s="42"/>
      <c r="M18" s="32"/>
      <c r="N18" s="32"/>
      <c r="O18" s="32"/>
      <c r="P18" s="32"/>
      <c r="Q18" s="32"/>
      <c r="R18" s="34"/>
      <c r="S18" s="41"/>
      <c r="T18" s="37"/>
      <c r="U18" s="36"/>
    </row>
    <row r="19" spans="1:21" x14ac:dyDescent="0.25">
      <c r="A19" s="32"/>
      <c r="B19" s="32"/>
      <c r="C19" s="32"/>
      <c r="D19" s="32"/>
      <c r="E19" s="32"/>
      <c r="F19" s="32"/>
      <c r="G19" s="32"/>
      <c r="H19" s="34"/>
      <c r="I19" s="36"/>
      <c r="J19" s="32"/>
      <c r="K19" s="37"/>
      <c r="L19" s="42"/>
      <c r="M19" s="32"/>
      <c r="N19" s="32"/>
      <c r="O19" s="32"/>
      <c r="P19" s="32"/>
      <c r="Q19" s="32"/>
      <c r="R19" s="34"/>
      <c r="S19" s="41"/>
      <c r="T19" s="37"/>
      <c r="U19" s="36"/>
    </row>
    <row r="20" spans="1:21" x14ac:dyDescent="0.25">
      <c r="A20" s="32"/>
      <c r="B20" s="32"/>
      <c r="C20" s="32"/>
      <c r="D20" s="32"/>
      <c r="E20" s="32"/>
      <c r="F20" s="32"/>
      <c r="G20" s="32"/>
      <c r="H20" s="34"/>
      <c r="I20" s="36"/>
      <c r="J20" s="32"/>
      <c r="K20" s="37"/>
      <c r="L20" s="42"/>
      <c r="M20" s="32"/>
      <c r="N20" s="32"/>
      <c r="O20" s="32"/>
      <c r="P20" s="32"/>
      <c r="Q20" s="32"/>
      <c r="R20" s="34"/>
      <c r="S20" s="41"/>
      <c r="T20" s="37"/>
      <c r="U20" s="36"/>
    </row>
    <row r="21" spans="1:21" x14ac:dyDescent="0.25">
      <c r="A21" s="32"/>
      <c r="B21" s="32"/>
      <c r="C21" s="32"/>
      <c r="D21" s="32"/>
      <c r="E21" s="32"/>
      <c r="F21" s="32"/>
      <c r="G21" s="32"/>
      <c r="H21" s="34"/>
      <c r="I21" s="36"/>
      <c r="J21" s="32"/>
      <c r="K21" s="37"/>
      <c r="L21" s="42"/>
      <c r="M21" s="32"/>
      <c r="N21" s="32"/>
      <c r="O21" s="32"/>
      <c r="P21" s="32"/>
      <c r="Q21" s="32"/>
      <c r="R21" s="34"/>
      <c r="S21" s="41"/>
      <c r="T21" s="37"/>
      <c r="U21" s="36"/>
    </row>
    <row r="22" spans="1:21" x14ac:dyDescent="0.25">
      <c r="A22" s="32"/>
      <c r="B22" s="32"/>
      <c r="C22" s="32"/>
      <c r="D22" s="32"/>
      <c r="E22" s="32"/>
      <c r="F22" s="32"/>
      <c r="G22" s="32"/>
      <c r="H22" s="34"/>
      <c r="I22" s="36"/>
      <c r="J22" s="32"/>
      <c r="K22" s="37"/>
      <c r="L22" s="42"/>
      <c r="M22" s="32"/>
      <c r="N22" s="32"/>
      <c r="O22" s="32"/>
      <c r="P22" s="32"/>
      <c r="Q22" s="32"/>
      <c r="R22" s="34"/>
      <c r="S22" s="41"/>
      <c r="T22" s="37"/>
      <c r="U22" s="36"/>
    </row>
    <row r="23" spans="1:21" x14ac:dyDescent="0.25">
      <c r="A23" s="32"/>
      <c r="B23" s="32"/>
      <c r="C23" s="32"/>
      <c r="D23" s="32"/>
      <c r="E23" s="32"/>
      <c r="F23" s="32"/>
      <c r="G23" s="32"/>
      <c r="H23" s="34"/>
      <c r="I23" s="36"/>
      <c r="J23" s="32"/>
      <c r="K23" s="37"/>
      <c r="L23" s="42"/>
      <c r="M23" s="32"/>
      <c r="N23" s="32"/>
      <c r="O23" s="32"/>
      <c r="P23" s="32"/>
      <c r="Q23" s="32"/>
      <c r="R23" s="34"/>
      <c r="S23" s="41"/>
      <c r="T23" s="37"/>
      <c r="U23" s="36"/>
    </row>
  </sheetData>
  <mergeCells count="4">
    <mergeCell ref="A1:U1"/>
    <mergeCell ref="A2:H2"/>
    <mergeCell ref="I2:R2"/>
    <mergeCell ref="S2:T2"/>
  </mergeCells>
  <dataValidations count="4">
    <dataValidation type="list" allowBlank="1" showInputMessage="1" showErrorMessage="1" sqref="Q1:Q1048576" xr:uid="{1ECE81B5-62EC-421B-9211-9B2727C19193}">
      <formula1>"Service, Mainline"</formula1>
    </dataValidation>
    <dataValidation type="whole" allowBlank="1" showInputMessage="1" showErrorMessage="1" sqref="F3" xr:uid="{001D1CBA-93D1-478C-9430-51A5084FDBE4}">
      <formula1>1</formula1>
      <formula2>12</formula2>
    </dataValidation>
    <dataValidation type="list" allowBlank="1" showInputMessage="1" showErrorMessage="1" sqref="F1" xr:uid="{8C1B2AB3-1C22-440F-AA62-1527E04457D0}">
      <formula1>"Intrenal, External"</formula1>
    </dataValidation>
    <dataValidation type="list" allowBlank="1" showInputMessage="1" showErrorMessage="1" sqref="R1:R1048576" xr:uid="{5C440BB1-217F-445C-8909-4AD146A69343}">
      <formula1>"Inside Paved Area, Outside Paved Area"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1581A-DB32-4C78-AD68-F343F0A4B318}">
  <dimension ref="A1:O33"/>
  <sheetViews>
    <sheetView topLeftCell="A14" workbookViewId="0">
      <selection activeCell="O32" sqref="O32"/>
    </sheetView>
  </sheetViews>
  <sheetFormatPr defaultRowHeight="15" x14ac:dyDescent="0.25"/>
  <cols>
    <col min="1" max="2" width="9.140625" style="19"/>
    <col min="3" max="3" width="11.140625" style="19" bestFit="1" customWidth="1"/>
    <col min="4" max="5" width="12.5703125" style="19" customWidth="1"/>
    <col min="6" max="8" width="9.140625" style="19"/>
    <col min="9" max="9" width="19.140625" style="19" customWidth="1"/>
    <col min="10" max="10" width="9.140625" style="107"/>
    <col min="11" max="11" width="27.7109375" style="24" customWidth="1"/>
    <col min="12" max="12" width="11.5703125" style="19" customWidth="1"/>
    <col min="13" max="13" width="11.5703125" style="19" hidden="1" customWidth="1"/>
    <col min="14" max="14" width="45" style="24" customWidth="1"/>
    <col min="15" max="15" width="15.42578125" style="19" customWidth="1"/>
    <col min="16" max="16384" width="9.140625" style="19"/>
  </cols>
  <sheetData>
    <row r="1" spans="1:15" x14ac:dyDescent="0.25">
      <c r="A1" s="261" t="s">
        <v>148</v>
      </c>
      <c r="B1" s="261"/>
      <c r="C1" s="261"/>
      <c r="D1" s="261"/>
      <c r="E1" s="261"/>
      <c r="F1" s="261"/>
      <c r="G1" s="261"/>
      <c r="H1" s="261"/>
      <c r="I1" s="261"/>
      <c r="J1" s="261"/>
      <c r="K1" s="261"/>
      <c r="L1" s="261"/>
      <c r="M1" s="261"/>
      <c r="N1" s="261"/>
    </row>
    <row r="2" spans="1:15" x14ac:dyDescent="0.25">
      <c r="A2" s="243" t="s">
        <v>1</v>
      </c>
      <c r="B2" s="244"/>
      <c r="C2" s="244"/>
      <c r="D2" s="244"/>
      <c r="E2" s="244"/>
      <c r="F2" s="244"/>
      <c r="G2" s="244"/>
      <c r="H2" s="244"/>
      <c r="I2" s="245"/>
      <c r="J2" s="260" t="s">
        <v>144</v>
      </c>
      <c r="K2" s="244"/>
      <c r="L2" s="244"/>
      <c r="M2" s="262"/>
      <c r="N2" s="25"/>
    </row>
    <row r="3" spans="1:15" ht="45" x14ac:dyDescent="0.25">
      <c r="A3" s="52" t="s">
        <v>37</v>
      </c>
      <c r="B3" s="52" t="s">
        <v>12</v>
      </c>
      <c r="C3" s="52" t="s">
        <v>145</v>
      </c>
      <c r="D3" s="52" t="s">
        <v>107</v>
      </c>
      <c r="E3" s="52" t="s">
        <v>108</v>
      </c>
      <c r="F3" s="52" t="s">
        <v>109</v>
      </c>
      <c r="G3" s="54" t="s">
        <v>40</v>
      </c>
      <c r="H3" s="52" t="s">
        <v>41</v>
      </c>
      <c r="I3" s="55" t="s">
        <v>13</v>
      </c>
      <c r="J3" s="56" t="s">
        <v>137</v>
      </c>
      <c r="K3" s="52" t="s">
        <v>146</v>
      </c>
      <c r="L3" s="53" t="s">
        <v>147</v>
      </c>
      <c r="M3" s="57" t="s">
        <v>128</v>
      </c>
      <c r="N3" s="58" t="s">
        <v>32</v>
      </c>
    </row>
    <row r="4" spans="1:15" x14ac:dyDescent="0.25">
      <c r="A4" s="18" t="s">
        <v>764</v>
      </c>
      <c r="B4" s="18">
        <v>8</v>
      </c>
      <c r="C4" s="18" t="s">
        <v>490</v>
      </c>
      <c r="D4" s="18" t="s">
        <v>790</v>
      </c>
      <c r="E4" s="18" t="s">
        <v>369</v>
      </c>
      <c r="F4" s="18">
        <v>373</v>
      </c>
      <c r="G4" s="18"/>
      <c r="H4" s="18">
        <v>264</v>
      </c>
      <c r="I4" s="103" t="s">
        <v>798</v>
      </c>
      <c r="J4" s="104"/>
      <c r="K4" s="32" t="s">
        <v>806</v>
      </c>
      <c r="L4" s="105"/>
      <c r="M4" s="106"/>
      <c r="N4" s="36" t="s">
        <v>815</v>
      </c>
      <c r="O4" s="19" t="s">
        <v>825</v>
      </c>
    </row>
    <row r="5" spans="1:15" x14ac:dyDescent="0.25">
      <c r="A5" s="18" t="s">
        <v>765</v>
      </c>
      <c r="B5" s="18">
        <v>8</v>
      </c>
      <c r="C5" s="18" t="s">
        <v>483</v>
      </c>
      <c r="D5" s="18" t="s">
        <v>408</v>
      </c>
      <c r="E5" s="18" t="s">
        <v>406</v>
      </c>
      <c r="F5" s="18">
        <v>261</v>
      </c>
      <c r="G5" s="18"/>
      <c r="H5" s="18">
        <v>3740</v>
      </c>
      <c r="I5" s="103" t="s">
        <v>799</v>
      </c>
      <c r="J5" s="104"/>
      <c r="K5" s="32" t="s">
        <v>807</v>
      </c>
      <c r="L5" s="105"/>
      <c r="M5" s="106"/>
      <c r="N5" s="36" t="s">
        <v>816</v>
      </c>
      <c r="O5" s="19" t="s">
        <v>825</v>
      </c>
    </row>
    <row r="6" spans="1:15" x14ac:dyDescent="0.25">
      <c r="A6" s="18" t="s">
        <v>766</v>
      </c>
      <c r="B6" s="18">
        <v>8</v>
      </c>
      <c r="C6" s="18" t="s">
        <v>483</v>
      </c>
      <c r="D6" s="18" t="s">
        <v>441</v>
      </c>
      <c r="E6" s="18" t="s">
        <v>402</v>
      </c>
      <c r="F6" s="18">
        <v>341</v>
      </c>
      <c r="G6" s="18"/>
      <c r="H6" s="18">
        <v>3743</v>
      </c>
      <c r="I6" s="103" t="s">
        <v>799</v>
      </c>
      <c r="J6" s="104"/>
      <c r="K6" s="32" t="s">
        <v>807</v>
      </c>
      <c r="L6" s="105"/>
      <c r="M6" s="106"/>
      <c r="N6" s="36" t="s">
        <v>817</v>
      </c>
      <c r="O6" s="19" t="s">
        <v>825</v>
      </c>
    </row>
    <row r="7" spans="1:15" ht="30" x14ac:dyDescent="0.25">
      <c r="A7" s="18" t="s">
        <v>767</v>
      </c>
      <c r="B7" s="18">
        <v>8</v>
      </c>
      <c r="C7" s="18" t="s">
        <v>483</v>
      </c>
      <c r="D7" s="18" t="s">
        <v>441</v>
      </c>
      <c r="E7" s="18" t="s">
        <v>402</v>
      </c>
      <c r="F7" s="18">
        <v>341</v>
      </c>
      <c r="G7" s="18"/>
      <c r="H7" s="18">
        <v>3739</v>
      </c>
      <c r="I7" s="103" t="s">
        <v>799</v>
      </c>
      <c r="J7" s="104"/>
      <c r="K7" s="32" t="s">
        <v>808</v>
      </c>
      <c r="L7" s="105"/>
      <c r="M7" s="106"/>
      <c r="N7" s="36" t="s">
        <v>818</v>
      </c>
      <c r="O7" s="19" t="s">
        <v>825</v>
      </c>
    </row>
    <row r="8" spans="1:15" x14ac:dyDescent="0.25">
      <c r="A8" s="18" t="s">
        <v>768</v>
      </c>
      <c r="B8" s="18">
        <v>8</v>
      </c>
      <c r="C8" s="18" t="s">
        <v>483</v>
      </c>
      <c r="D8" s="18" t="s">
        <v>402</v>
      </c>
      <c r="E8" s="18" t="s">
        <v>403</v>
      </c>
      <c r="F8" s="18">
        <v>381</v>
      </c>
      <c r="G8" s="18"/>
      <c r="H8" s="18">
        <v>3737</v>
      </c>
      <c r="I8" s="103" t="s">
        <v>799</v>
      </c>
      <c r="J8" s="104"/>
      <c r="K8" s="32" t="s">
        <v>807</v>
      </c>
      <c r="L8" s="105"/>
      <c r="M8" s="106"/>
      <c r="N8" s="36" t="s">
        <v>817</v>
      </c>
      <c r="O8" s="19" t="s">
        <v>825</v>
      </c>
    </row>
    <row r="9" spans="1:15" x14ac:dyDescent="0.25">
      <c r="A9" s="18" t="s">
        <v>769</v>
      </c>
      <c r="B9" s="18">
        <v>8</v>
      </c>
      <c r="C9" s="18" t="s">
        <v>492</v>
      </c>
      <c r="D9" s="18" t="s">
        <v>716</v>
      </c>
      <c r="E9" s="18" t="s">
        <v>471</v>
      </c>
      <c r="F9" s="18">
        <v>198</v>
      </c>
      <c r="G9" s="18"/>
      <c r="H9" s="18">
        <v>3764</v>
      </c>
      <c r="I9" s="103" t="s">
        <v>799</v>
      </c>
      <c r="J9" s="104"/>
      <c r="K9" s="32" t="s">
        <v>807</v>
      </c>
      <c r="L9" s="105"/>
      <c r="M9" s="106"/>
      <c r="N9" s="36" t="s">
        <v>816</v>
      </c>
      <c r="O9" s="19" t="s">
        <v>826</v>
      </c>
    </row>
    <row r="10" spans="1:15" x14ac:dyDescent="0.25">
      <c r="A10" s="18" t="s">
        <v>770</v>
      </c>
      <c r="B10" s="18">
        <v>8</v>
      </c>
      <c r="C10" s="18" t="s">
        <v>492</v>
      </c>
      <c r="D10" s="18" t="s">
        <v>718</v>
      </c>
      <c r="E10" s="18" t="s">
        <v>716</v>
      </c>
      <c r="F10" s="18">
        <v>298</v>
      </c>
      <c r="G10" s="18"/>
      <c r="H10" s="18">
        <v>3800</v>
      </c>
      <c r="I10" s="103" t="s">
        <v>799</v>
      </c>
      <c r="J10" s="104"/>
      <c r="K10" s="32" t="s">
        <v>807</v>
      </c>
      <c r="L10" s="105"/>
      <c r="M10" s="106"/>
      <c r="N10" s="36" t="s">
        <v>816</v>
      </c>
      <c r="O10" s="19" t="s">
        <v>825</v>
      </c>
    </row>
    <row r="11" spans="1:15" x14ac:dyDescent="0.25">
      <c r="A11" s="18" t="s">
        <v>771</v>
      </c>
      <c r="B11" s="18">
        <v>8</v>
      </c>
      <c r="C11" s="18" t="s">
        <v>483</v>
      </c>
      <c r="D11" s="18" t="s">
        <v>791</v>
      </c>
      <c r="E11" s="18" t="s">
        <v>685</v>
      </c>
      <c r="F11" s="18">
        <v>351</v>
      </c>
      <c r="G11" s="18"/>
      <c r="H11" s="18">
        <v>4081</v>
      </c>
      <c r="I11" s="103" t="s">
        <v>800</v>
      </c>
      <c r="J11" s="104"/>
      <c r="K11" s="32" t="s">
        <v>809</v>
      </c>
      <c r="L11" s="105"/>
      <c r="M11" s="106"/>
      <c r="N11" s="36" t="s">
        <v>819</v>
      </c>
      <c r="O11" s="19" t="s">
        <v>825</v>
      </c>
    </row>
    <row r="12" spans="1:15" x14ac:dyDescent="0.25">
      <c r="A12" s="18" t="s">
        <v>772</v>
      </c>
      <c r="B12" s="18">
        <v>8</v>
      </c>
      <c r="C12" s="18" t="s">
        <v>483</v>
      </c>
      <c r="D12" s="18" t="s">
        <v>439</v>
      </c>
      <c r="E12" s="18" t="s">
        <v>440</v>
      </c>
      <c r="F12" s="18">
        <v>173</v>
      </c>
      <c r="G12" s="18"/>
      <c r="H12" s="18">
        <v>4088</v>
      </c>
      <c r="I12" s="103" t="s">
        <v>800</v>
      </c>
      <c r="J12" s="104"/>
      <c r="K12" s="32" t="s">
        <v>807</v>
      </c>
      <c r="L12" s="105"/>
      <c r="M12" s="106"/>
      <c r="N12" s="36" t="s">
        <v>820</v>
      </c>
      <c r="O12" s="19" t="s">
        <v>825</v>
      </c>
    </row>
    <row r="13" spans="1:15" ht="45" x14ac:dyDescent="0.25">
      <c r="A13" s="18" t="s">
        <v>773</v>
      </c>
      <c r="B13" s="18">
        <v>8</v>
      </c>
      <c r="C13" s="18" t="s">
        <v>483</v>
      </c>
      <c r="D13" s="18" t="s">
        <v>443</v>
      </c>
      <c r="E13" s="18" t="s">
        <v>439</v>
      </c>
      <c r="F13" s="18">
        <v>204</v>
      </c>
      <c r="G13" s="18"/>
      <c r="H13" s="18">
        <v>4084</v>
      </c>
      <c r="I13" s="103" t="s">
        <v>800</v>
      </c>
      <c r="J13" s="104"/>
      <c r="K13" s="32" t="s">
        <v>810</v>
      </c>
      <c r="L13" s="105"/>
      <c r="M13" s="106"/>
      <c r="N13" s="36" t="s">
        <v>821</v>
      </c>
      <c r="O13" s="19" t="s">
        <v>825</v>
      </c>
    </row>
    <row r="14" spans="1:15" x14ac:dyDescent="0.25">
      <c r="A14" s="18" t="s">
        <v>774</v>
      </c>
      <c r="B14" s="18">
        <v>8</v>
      </c>
      <c r="C14" s="18" t="s">
        <v>487</v>
      </c>
      <c r="D14" s="18" t="s">
        <v>792</v>
      </c>
      <c r="E14" s="18" t="s">
        <v>685</v>
      </c>
      <c r="F14" s="18">
        <v>278</v>
      </c>
      <c r="G14" s="18"/>
      <c r="H14" s="18">
        <v>4053</v>
      </c>
      <c r="I14" s="103" t="s">
        <v>800</v>
      </c>
      <c r="J14" s="104"/>
      <c r="K14" s="32" t="s">
        <v>809</v>
      </c>
      <c r="L14" s="105"/>
      <c r="M14" s="106"/>
      <c r="N14" s="36" t="s">
        <v>819</v>
      </c>
      <c r="O14" s="19" t="s">
        <v>825</v>
      </c>
    </row>
    <row r="15" spans="1:15" x14ac:dyDescent="0.25">
      <c r="A15" s="18" t="s">
        <v>775</v>
      </c>
      <c r="B15" s="18">
        <v>8</v>
      </c>
      <c r="C15" s="18" t="s">
        <v>483</v>
      </c>
      <c r="D15" s="18" t="s">
        <v>433</v>
      </c>
      <c r="E15" s="18" t="s">
        <v>666</v>
      </c>
      <c r="F15" s="18">
        <v>163</v>
      </c>
      <c r="G15" s="18"/>
      <c r="H15" s="18">
        <v>357</v>
      </c>
      <c r="I15" s="103" t="s">
        <v>801</v>
      </c>
      <c r="J15" s="104"/>
      <c r="K15" s="32" t="s">
        <v>809</v>
      </c>
      <c r="L15" s="105"/>
      <c r="M15" s="106"/>
      <c r="N15" s="36" t="s">
        <v>819</v>
      </c>
      <c r="O15" s="19" t="s">
        <v>825</v>
      </c>
    </row>
    <row r="16" spans="1:15" x14ac:dyDescent="0.25">
      <c r="A16" s="18" t="s">
        <v>776</v>
      </c>
      <c r="B16" s="18">
        <v>8</v>
      </c>
      <c r="C16" s="18" t="s">
        <v>483</v>
      </c>
      <c r="D16" s="18" t="s">
        <v>428</v>
      </c>
      <c r="E16" s="18" t="s">
        <v>426</v>
      </c>
      <c r="F16" s="18">
        <v>255</v>
      </c>
      <c r="G16" s="18"/>
      <c r="H16" s="18">
        <v>4802</v>
      </c>
      <c r="I16" s="103" t="s">
        <v>802</v>
      </c>
      <c r="J16" s="104"/>
      <c r="K16" s="32" t="s">
        <v>809</v>
      </c>
      <c r="L16" s="105"/>
      <c r="M16" s="106"/>
      <c r="N16" s="36" t="s">
        <v>819</v>
      </c>
      <c r="O16" s="19" t="s">
        <v>825</v>
      </c>
    </row>
    <row r="17" spans="1:15" ht="30" x14ac:dyDescent="0.25">
      <c r="A17" s="18" t="s">
        <v>777</v>
      </c>
      <c r="B17" s="18">
        <v>8</v>
      </c>
      <c r="C17" s="18" t="s">
        <v>490</v>
      </c>
      <c r="D17" s="18" t="s">
        <v>455</v>
      </c>
      <c r="E17" s="18" t="s">
        <v>378</v>
      </c>
      <c r="F17" s="18">
        <v>196</v>
      </c>
      <c r="G17" s="18"/>
      <c r="H17" s="18">
        <v>259</v>
      </c>
      <c r="I17" s="103" t="s">
        <v>803</v>
      </c>
      <c r="J17" s="104"/>
      <c r="K17" s="32" t="s">
        <v>811</v>
      </c>
      <c r="L17" s="105"/>
      <c r="M17" s="106"/>
      <c r="N17" s="36" t="s">
        <v>822</v>
      </c>
      <c r="O17" s="19" t="s">
        <v>825</v>
      </c>
    </row>
    <row r="18" spans="1:15" ht="45" x14ac:dyDescent="0.25">
      <c r="A18" s="18" t="s">
        <v>778</v>
      </c>
      <c r="B18" s="18">
        <v>8</v>
      </c>
      <c r="C18" s="18" t="s">
        <v>481</v>
      </c>
      <c r="D18" s="18" t="s">
        <v>379</v>
      </c>
      <c r="E18" s="18" t="s">
        <v>376</v>
      </c>
      <c r="F18" s="18">
        <v>123</v>
      </c>
      <c r="G18" s="18"/>
      <c r="H18" s="18">
        <v>3710</v>
      </c>
      <c r="I18" s="103" t="s">
        <v>799</v>
      </c>
      <c r="J18" s="104"/>
      <c r="K18" s="32" t="s">
        <v>812</v>
      </c>
      <c r="L18" s="105"/>
      <c r="M18" s="106"/>
      <c r="N18" s="36" t="s">
        <v>823</v>
      </c>
      <c r="O18" s="19" t="s">
        <v>825</v>
      </c>
    </row>
    <row r="19" spans="1:15" ht="45" x14ac:dyDescent="0.25">
      <c r="A19" s="18" t="s">
        <v>779</v>
      </c>
      <c r="B19" s="18">
        <v>8</v>
      </c>
      <c r="C19" s="18" t="s">
        <v>481</v>
      </c>
      <c r="D19" s="18" t="s">
        <v>379</v>
      </c>
      <c r="E19" s="18" t="s">
        <v>376</v>
      </c>
      <c r="F19" s="18">
        <v>123</v>
      </c>
      <c r="G19" s="18"/>
      <c r="H19" s="18">
        <v>3710</v>
      </c>
      <c r="I19" s="103" t="s">
        <v>799</v>
      </c>
      <c r="J19" s="104"/>
      <c r="K19" s="32" t="s">
        <v>812</v>
      </c>
      <c r="L19" s="105"/>
      <c r="M19" s="106"/>
      <c r="N19" s="36" t="s">
        <v>820</v>
      </c>
      <c r="O19" s="19" t="s">
        <v>825</v>
      </c>
    </row>
    <row r="20" spans="1:15" ht="45" x14ac:dyDescent="0.25">
      <c r="A20" s="18" t="s">
        <v>780</v>
      </c>
      <c r="B20" s="18">
        <v>8</v>
      </c>
      <c r="C20" s="18" t="s">
        <v>482</v>
      </c>
      <c r="D20" s="18" t="s">
        <v>419</v>
      </c>
      <c r="E20" s="18" t="s">
        <v>420</v>
      </c>
      <c r="F20" s="18">
        <v>269</v>
      </c>
      <c r="G20" s="18"/>
      <c r="H20" s="18">
        <v>4824</v>
      </c>
      <c r="I20" s="103" t="s">
        <v>804</v>
      </c>
      <c r="J20" s="104"/>
      <c r="K20" s="32" t="s">
        <v>813</v>
      </c>
      <c r="L20" s="105"/>
      <c r="M20" s="106"/>
      <c r="N20" s="36" t="s">
        <v>824</v>
      </c>
      <c r="O20" s="19" t="s">
        <v>825</v>
      </c>
    </row>
    <row r="21" spans="1:15" x14ac:dyDescent="0.25">
      <c r="A21" s="18" t="s">
        <v>781</v>
      </c>
      <c r="B21" s="18">
        <v>8</v>
      </c>
      <c r="C21" s="18" t="s">
        <v>483</v>
      </c>
      <c r="D21" s="18" t="s">
        <v>793</v>
      </c>
      <c r="E21" s="18" t="s">
        <v>794</v>
      </c>
      <c r="F21" s="18">
        <v>255</v>
      </c>
      <c r="G21" s="18"/>
      <c r="H21" s="18">
        <v>4831</v>
      </c>
      <c r="I21" s="103" t="s">
        <v>805</v>
      </c>
      <c r="J21" s="104"/>
      <c r="K21" s="32" t="s">
        <v>809</v>
      </c>
      <c r="L21" s="105"/>
      <c r="M21" s="106"/>
      <c r="N21" s="36" t="s">
        <v>819</v>
      </c>
      <c r="O21" s="19" t="s">
        <v>825</v>
      </c>
    </row>
    <row r="22" spans="1:15" ht="30" x14ac:dyDescent="0.25">
      <c r="A22" s="18" t="s">
        <v>782</v>
      </c>
      <c r="B22" s="18">
        <v>8</v>
      </c>
      <c r="C22" s="18" t="s">
        <v>789</v>
      </c>
      <c r="D22" s="18" t="s">
        <v>445</v>
      </c>
      <c r="E22" s="18" t="s">
        <v>725</v>
      </c>
      <c r="F22" s="18">
        <v>350</v>
      </c>
      <c r="G22" s="18"/>
      <c r="H22" s="18">
        <v>3849</v>
      </c>
      <c r="I22" s="103" t="s">
        <v>799</v>
      </c>
      <c r="J22" s="104"/>
      <c r="K22" s="32" t="s">
        <v>811</v>
      </c>
      <c r="L22" s="105"/>
      <c r="M22" s="106"/>
      <c r="N22" s="36" t="s">
        <v>822</v>
      </c>
      <c r="O22" s="19" t="s">
        <v>825</v>
      </c>
    </row>
    <row r="23" spans="1:15" x14ac:dyDescent="0.25">
      <c r="A23" s="18" t="s">
        <v>783</v>
      </c>
      <c r="B23" s="18">
        <v>8</v>
      </c>
      <c r="C23" s="18" t="s">
        <v>492</v>
      </c>
      <c r="D23" s="18" t="s">
        <v>718</v>
      </c>
      <c r="E23" s="18" t="s">
        <v>716</v>
      </c>
      <c r="F23" s="18">
        <v>298</v>
      </c>
      <c r="G23" s="18"/>
      <c r="H23" s="18">
        <v>3809</v>
      </c>
      <c r="I23" s="103" t="s">
        <v>799</v>
      </c>
      <c r="J23" s="104"/>
      <c r="K23" s="32" t="s">
        <v>814</v>
      </c>
      <c r="L23" s="105"/>
      <c r="M23" s="106"/>
      <c r="N23" s="36" t="s">
        <v>816</v>
      </c>
      <c r="O23" s="19" t="s">
        <v>826</v>
      </c>
    </row>
    <row r="24" spans="1:15" x14ac:dyDescent="0.25">
      <c r="A24" s="18" t="s">
        <v>784</v>
      </c>
      <c r="B24" s="18">
        <v>8</v>
      </c>
      <c r="C24" s="18" t="s">
        <v>486</v>
      </c>
      <c r="D24" s="18" t="s">
        <v>795</v>
      </c>
      <c r="E24" s="18" t="s">
        <v>796</v>
      </c>
      <c r="F24" s="18">
        <v>275</v>
      </c>
      <c r="G24" s="18"/>
      <c r="H24" s="18">
        <v>4001</v>
      </c>
      <c r="I24" s="103" t="s">
        <v>800</v>
      </c>
      <c r="J24" s="104"/>
      <c r="K24" s="32" t="s">
        <v>814</v>
      </c>
      <c r="L24" s="105"/>
      <c r="M24" s="106"/>
      <c r="N24" s="36" t="s">
        <v>817</v>
      </c>
      <c r="O24" s="19" t="s">
        <v>825</v>
      </c>
    </row>
    <row r="25" spans="1:15" x14ac:dyDescent="0.25">
      <c r="A25" s="18" t="s">
        <v>785</v>
      </c>
      <c r="B25" s="18">
        <v>8</v>
      </c>
      <c r="C25" s="18" t="s">
        <v>486</v>
      </c>
      <c r="D25" s="18" t="s">
        <v>795</v>
      </c>
      <c r="E25" s="18" t="s">
        <v>796</v>
      </c>
      <c r="F25" s="18">
        <v>275</v>
      </c>
      <c r="G25" s="18"/>
      <c r="H25" s="18">
        <v>4005</v>
      </c>
      <c r="I25" s="103" t="s">
        <v>800</v>
      </c>
      <c r="J25" s="104"/>
      <c r="K25" s="32" t="s">
        <v>814</v>
      </c>
      <c r="L25" s="105"/>
      <c r="M25" s="106"/>
      <c r="N25" s="36" t="s">
        <v>817</v>
      </c>
      <c r="O25" s="19" t="s">
        <v>825</v>
      </c>
    </row>
    <row r="26" spans="1:15" x14ac:dyDescent="0.25">
      <c r="A26" s="18" t="s">
        <v>786</v>
      </c>
      <c r="B26" s="18">
        <v>8</v>
      </c>
      <c r="C26" s="18" t="s">
        <v>486</v>
      </c>
      <c r="D26" s="18" t="s">
        <v>796</v>
      </c>
      <c r="E26" s="18" t="s">
        <v>694</v>
      </c>
      <c r="F26" s="18">
        <v>146</v>
      </c>
      <c r="G26" s="18"/>
      <c r="H26" s="18">
        <v>4017</v>
      </c>
      <c r="I26" s="103" t="s">
        <v>800</v>
      </c>
      <c r="J26" s="104"/>
      <c r="K26" s="32" t="s">
        <v>809</v>
      </c>
      <c r="L26" s="105"/>
      <c r="M26" s="106"/>
      <c r="N26" s="36" t="s">
        <v>819</v>
      </c>
      <c r="O26" s="19" t="s">
        <v>825</v>
      </c>
    </row>
    <row r="27" spans="1:15" x14ac:dyDescent="0.25">
      <c r="A27" s="18" t="s">
        <v>787</v>
      </c>
      <c r="B27" s="18">
        <v>8</v>
      </c>
      <c r="C27" s="18" t="s">
        <v>486</v>
      </c>
      <c r="D27" s="18" t="s">
        <v>796</v>
      </c>
      <c r="E27" s="18" t="s">
        <v>694</v>
      </c>
      <c r="F27" s="18">
        <v>146</v>
      </c>
      <c r="G27" s="18"/>
      <c r="H27" s="18">
        <v>4016</v>
      </c>
      <c r="I27" s="103" t="s">
        <v>800</v>
      </c>
      <c r="J27" s="104"/>
      <c r="K27" s="32" t="s">
        <v>807</v>
      </c>
      <c r="L27" s="105"/>
      <c r="M27" s="106"/>
      <c r="N27" s="36" t="s">
        <v>817</v>
      </c>
      <c r="O27" s="19" t="s">
        <v>825</v>
      </c>
    </row>
    <row r="28" spans="1:15" x14ac:dyDescent="0.25">
      <c r="A28" s="18" t="s">
        <v>787</v>
      </c>
      <c r="B28" s="18">
        <v>8</v>
      </c>
      <c r="C28" s="18" t="s">
        <v>486</v>
      </c>
      <c r="D28" s="18" t="s">
        <v>694</v>
      </c>
      <c r="E28" s="18" t="s">
        <v>797</v>
      </c>
      <c r="F28" s="18">
        <v>296</v>
      </c>
      <c r="G28" s="18"/>
      <c r="H28" s="18">
        <v>4029</v>
      </c>
      <c r="I28" s="103" t="s">
        <v>800</v>
      </c>
      <c r="J28" s="104"/>
      <c r="K28" s="32" t="s">
        <v>814</v>
      </c>
      <c r="L28" s="105"/>
      <c r="M28" s="106"/>
      <c r="N28" s="36" t="s">
        <v>817</v>
      </c>
      <c r="O28" s="19" t="s">
        <v>825</v>
      </c>
    </row>
    <row r="29" spans="1:15" x14ac:dyDescent="0.25">
      <c r="A29" s="18" t="s">
        <v>788</v>
      </c>
      <c r="B29" s="18">
        <v>8</v>
      </c>
      <c r="C29" s="18" t="s">
        <v>487</v>
      </c>
      <c r="D29" s="18" t="s">
        <v>696</v>
      </c>
      <c r="E29" s="18" t="s">
        <v>434</v>
      </c>
      <c r="F29" s="18">
        <v>315</v>
      </c>
      <c r="G29" s="18"/>
      <c r="H29" s="18">
        <v>4929</v>
      </c>
      <c r="I29" s="103" t="s">
        <v>805</v>
      </c>
      <c r="J29" s="104"/>
      <c r="K29" s="32" t="s">
        <v>809</v>
      </c>
      <c r="L29" s="105"/>
      <c r="M29" s="106"/>
      <c r="N29" s="36" t="s">
        <v>819</v>
      </c>
      <c r="O29" s="19" t="s">
        <v>825</v>
      </c>
    </row>
    <row r="30" spans="1:15" x14ac:dyDescent="0.25">
      <c r="A30" s="18"/>
      <c r="B30" s="18"/>
      <c r="C30" s="18"/>
      <c r="D30" s="18"/>
      <c r="E30" s="18"/>
      <c r="F30" s="18"/>
      <c r="G30" s="18"/>
      <c r="H30" s="18"/>
      <c r="I30" s="103"/>
      <c r="J30" s="104"/>
      <c r="K30" s="32"/>
      <c r="L30" s="105"/>
      <c r="M30" s="106"/>
      <c r="N30" s="36"/>
    </row>
    <row r="31" spans="1:15" x14ac:dyDescent="0.25">
      <c r="A31" s="18"/>
      <c r="B31" s="18"/>
      <c r="C31" s="18"/>
      <c r="D31" s="18"/>
      <c r="E31" s="18"/>
      <c r="F31" s="18"/>
      <c r="G31" s="18"/>
      <c r="H31" s="18"/>
      <c r="I31" s="103"/>
      <c r="J31" s="104"/>
      <c r="K31" s="32"/>
      <c r="L31" s="105"/>
      <c r="M31" s="106"/>
      <c r="N31" s="36"/>
    </row>
    <row r="32" spans="1:15" x14ac:dyDescent="0.25">
      <c r="A32" s="18"/>
      <c r="B32" s="18"/>
      <c r="C32" s="18"/>
      <c r="D32" s="18"/>
      <c r="E32" s="18"/>
      <c r="F32" s="18"/>
      <c r="G32" s="18"/>
      <c r="H32" s="18"/>
      <c r="I32" s="103"/>
      <c r="J32" s="104"/>
      <c r="K32" s="32"/>
      <c r="L32" s="105"/>
      <c r="M32" s="106"/>
      <c r="N32" s="36"/>
    </row>
    <row r="33" spans="1:14" x14ac:dyDescent="0.25">
      <c r="A33" s="18"/>
      <c r="B33" s="18"/>
      <c r="C33" s="18"/>
      <c r="D33" s="18"/>
      <c r="E33" s="18"/>
      <c r="F33" s="18"/>
      <c r="G33" s="18"/>
      <c r="H33" s="18"/>
      <c r="I33" s="103"/>
      <c r="J33" s="104"/>
      <c r="K33" s="32"/>
      <c r="L33" s="105"/>
      <c r="M33" s="106"/>
      <c r="N33" s="36"/>
    </row>
  </sheetData>
  <mergeCells count="3">
    <mergeCell ref="A1:N1"/>
    <mergeCell ref="A2:I2"/>
    <mergeCell ref="J2:M2"/>
  </mergeCells>
  <dataValidations count="2">
    <dataValidation type="list" allowBlank="1" showInputMessage="1" showErrorMessage="1" sqref="G1" xr:uid="{A3442BC6-0E6E-4C08-91DC-2E7955A3C36C}">
      <formula1>"Intrenal, External"</formula1>
    </dataValidation>
    <dataValidation type="whole" allowBlank="1" showInputMessage="1" showErrorMessage="1" sqref="G3" xr:uid="{5FA6F205-054E-4CB2-9EDE-EFCB0447BDB2}">
      <formula1>1</formula1>
      <formula2>12</formula2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84C22-AAEE-4B8D-80E7-3616C6658CB7}">
  <dimension ref="C3:H27"/>
  <sheetViews>
    <sheetView workbookViewId="0">
      <selection activeCell="E24" sqref="E24"/>
    </sheetView>
  </sheetViews>
  <sheetFormatPr defaultColWidth="9.140625" defaultRowHeight="15" x14ac:dyDescent="0.25"/>
  <cols>
    <col min="1" max="2" width="9.140625" style="19"/>
    <col min="3" max="3" width="26.85546875" style="19" customWidth="1"/>
    <col min="4" max="4" width="4.42578125" style="19" customWidth="1"/>
    <col min="5" max="5" width="27.42578125" style="19" customWidth="1"/>
    <col min="6" max="6" width="4.140625" style="19" customWidth="1"/>
    <col min="7" max="7" width="12" style="19" customWidth="1"/>
    <col min="8" max="8" width="149.7109375" style="19" customWidth="1"/>
    <col min="9" max="16384" width="9.140625" style="19"/>
  </cols>
  <sheetData>
    <row r="3" spans="3:8" ht="30" x14ac:dyDescent="0.25">
      <c r="C3" s="16" t="s">
        <v>63</v>
      </c>
      <c r="E3" s="20" t="s">
        <v>51</v>
      </c>
      <c r="G3" s="263" t="s">
        <v>542</v>
      </c>
      <c r="H3" s="263"/>
    </row>
    <row r="4" spans="3:8" x14ac:dyDescent="0.25">
      <c r="C4" s="18" t="s">
        <v>64</v>
      </c>
      <c r="E4" s="18" t="s">
        <v>77</v>
      </c>
      <c r="G4" s="18" t="s">
        <v>543</v>
      </c>
      <c r="H4" s="18" t="s">
        <v>544</v>
      </c>
    </row>
    <row r="5" spans="3:8" x14ac:dyDescent="0.25">
      <c r="C5" s="18" t="s">
        <v>65</v>
      </c>
      <c r="E5" s="18" t="s">
        <v>78</v>
      </c>
      <c r="G5" s="18" t="s">
        <v>318</v>
      </c>
      <c r="H5" s="18" t="s">
        <v>545</v>
      </c>
    </row>
    <row r="6" spans="3:8" x14ac:dyDescent="0.25">
      <c r="C6" s="18" t="s">
        <v>73</v>
      </c>
      <c r="E6" s="18" t="s">
        <v>79</v>
      </c>
      <c r="G6" s="18" t="s">
        <v>546</v>
      </c>
      <c r="H6" s="18" t="s">
        <v>547</v>
      </c>
    </row>
    <row r="7" spans="3:8" x14ac:dyDescent="0.25">
      <c r="C7" s="18" t="s">
        <v>66</v>
      </c>
      <c r="E7" s="18" t="s">
        <v>80</v>
      </c>
      <c r="G7" s="18" t="s">
        <v>273</v>
      </c>
      <c r="H7" s="18" t="s">
        <v>548</v>
      </c>
    </row>
    <row r="8" spans="3:8" x14ac:dyDescent="0.25">
      <c r="C8" s="18" t="s">
        <v>67</v>
      </c>
      <c r="E8" s="18"/>
      <c r="G8" s="18" t="s">
        <v>317</v>
      </c>
      <c r="H8" s="18" t="s">
        <v>549</v>
      </c>
    </row>
    <row r="9" spans="3:8" x14ac:dyDescent="0.25">
      <c r="C9" s="18" t="s">
        <v>68</v>
      </c>
      <c r="E9" s="18"/>
      <c r="G9" s="18" t="s">
        <v>80</v>
      </c>
      <c r="H9" s="18" t="s">
        <v>550</v>
      </c>
    </row>
    <row r="10" spans="3:8" x14ac:dyDescent="0.25">
      <c r="C10" s="18" t="s">
        <v>69</v>
      </c>
      <c r="E10" s="18"/>
      <c r="G10" s="18" t="s">
        <v>218</v>
      </c>
      <c r="H10" s="18" t="s">
        <v>551</v>
      </c>
    </row>
    <row r="11" spans="3:8" x14ac:dyDescent="0.25">
      <c r="C11" s="18" t="s">
        <v>75</v>
      </c>
      <c r="E11" s="18"/>
      <c r="G11" s="18" t="s">
        <v>223</v>
      </c>
      <c r="H11" s="18" t="s">
        <v>552</v>
      </c>
    </row>
    <row r="12" spans="3:8" x14ac:dyDescent="0.25">
      <c r="C12" s="18" t="s">
        <v>76</v>
      </c>
      <c r="E12" s="18"/>
      <c r="G12" s="18" t="s">
        <v>553</v>
      </c>
      <c r="H12" s="18" t="s">
        <v>554</v>
      </c>
    </row>
    <row r="13" spans="3:8" x14ac:dyDescent="0.25">
      <c r="C13" s="18" t="s">
        <v>74</v>
      </c>
      <c r="G13" s="18" t="s">
        <v>155</v>
      </c>
      <c r="H13" s="18" t="s">
        <v>555</v>
      </c>
    </row>
    <row r="14" spans="3:8" x14ac:dyDescent="0.25">
      <c r="C14" s="18" t="s">
        <v>70</v>
      </c>
      <c r="G14" s="18" t="s">
        <v>556</v>
      </c>
      <c r="H14" s="18" t="s">
        <v>557</v>
      </c>
    </row>
    <row r="15" spans="3:8" x14ac:dyDescent="0.25">
      <c r="C15" s="18" t="s">
        <v>72</v>
      </c>
      <c r="G15" s="18" t="s">
        <v>558</v>
      </c>
      <c r="H15" s="18" t="s">
        <v>559</v>
      </c>
    </row>
    <row r="16" spans="3:8" x14ac:dyDescent="0.25">
      <c r="C16" s="18" t="s">
        <v>71</v>
      </c>
      <c r="G16" s="18" t="s">
        <v>560</v>
      </c>
      <c r="H16" s="18" t="s">
        <v>561</v>
      </c>
    </row>
    <row r="17" spans="3:8" x14ac:dyDescent="0.25">
      <c r="C17" s="18"/>
      <c r="G17" s="18" t="s">
        <v>562</v>
      </c>
      <c r="H17" s="18" t="s">
        <v>563</v>
      </c>
    </row>
    <row r="18" spans="3:8" x14ac:dyDescent="0.25">
      <c r="C18" s="18"/>
      <c r="G18" s="18" t="s">
        <v>564</v>
      </c>
      <c r="H18" s="18" t="s">
        <v>565</v>
      </c>
    </row>
    <row r="19" spans="3:8" x14ac:dyDescent="0.25">
      <c r="C19" s="18"/>
      <c r="G19" s="18" t="s">
        <v>566</v>
      </c>
      <c r="H19" s="18" t="s">
        <v>567</v>
      </c>
    </row>
    <row r="20" spans="3:8" x14ac:dyDescent="0.25">
      <c r="C20" s="18"/>
      <c r="G20" s="18" t="s">
        <v>568</v>
      </c>
      <c r="H20" s="18" t="s">
        <v>569</v>
      </c>
    </row>
    <row r="21" spans="3:8" x14ac:dyDescent="0.25">
      <c r="C21" s="18"/>
      <c r="G21" s="18" t="s">
        <v>570</v>
      </c>
      <c r="H21" s="18" t="s">
        <v>571</v>
      </c>
    </row>
    <row r="22" spans="3:8" x14ac:dyDescent="0.25">
      <c r="G22" s="18" t="s">
        <v>572</v>
      </c>
      <c r="H22" s="18" t="s">
        <v>573</v>
      </c>
    </row>
    <row r="23" spans="3:8" x14ac:dyDescent="0.25">
      <c r="G23" s="18" t="s">
        <v>574</v>
      </c>
      <c r="H23" s="18" t="s">
        <v>575</v>
      </c>
    </row>
    <row r="24" spans="3:8" x14ac:dyDescent="0.25">
      <c r="G24" s="18" t="s">
        <v>224</v>
      </c>
      <c r="H24" s="18" t="s">
        <v>576</v>
      </c>
    </row>
    <row r="25" spans="3:8" x14ac:dyDescent="0.25">
      <c r="G25" s="18" t="s">
        <v>11</v>
      </c>
      <c r="H25" s="18" t="s">
        <v>577</v>
      </c>
    </row>
    <row r="26" spans="3:8" x14ac:dyDescent="0.25">
      <c r="G26" s="18" t="s">
        <v>10</v>
      </c>
      <c r="H26" s="18" t="s">
        <v>578</v>
      </c>
    </row>
    <row r="27" spans="3:8" x14ac:dyDescent="0.25">
      <c r="G27" s="18" t="s">
        <v>579</v>
      </c>
      <c r="H27" s="18" t="s">
        <v>580</v>
      </c>
    </row>
  </sheetData>
  <sortState xmlns:xlrd2="http://schemas.microsoft.com/office/spreadsheetml/2017/richdata2" ref="C4:C21">
    <sortCondition ref="C4:C21"/>
  </sortState>
  <mergeCells count="1"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4-11-2026</vt:lpstr>
      <vt:lpstr>Mainline</vt:lpstr>
      <vt:lpstr>4-4-2026</vt:lpstr>
      <vt:lpstr>Services</vt:lpstr>
      <vt:lpstr>Manholes</vt:lpstr>
      <vt:lpstr>Hard Surface Restoration</vt:lpstr>
      <vt:lpstr>Point Repairs</vt:lpstr>
      <vt:lpstr>Misc Bid Items</vt:lpstr>
      <vt:lpstr>Lists</vt:lpstr>
      <vt:lpstr>'4-11-2026'!Print_Area</vt:lpstr>
      <vt:lpstr>'4-4-2026'!Print_Area</vt:lpstr>
      <vt:lpstr>'4-11-2026'!Print_Titles</vt:lpstr>
      <vt:lpstr>'4-4-2026'!Print_Titles</vt:lpstr>
    </vt:vector>
  </TitlesOfParts>
  <Company>Gresham Smith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 Roddy</dc:creator>
  <cp:lastModifiedBy>Patrick Gibbs</cp:lastModifiedBy>
  <dcterms:created xsi:type="dcterms:W3CDTF">2025-01-20T14:31:33Z</dcterms:created>
  <dcterms:modified xsi:type="dcterms:W3CDTF">2026-04-06T20:06:55Z</dcterms:modified>
</cp:coreProperties>
</file>